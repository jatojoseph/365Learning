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3.xml" ContentType="application/vnd.openxmlformats-officedocument.drawing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_rels/sheet4.xml.rels" ContentType="application/vnd.openxmlformats-package.relationships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worksheets/sheet13.xml" ContentType="application/vnd.openxmlformats-officedocument.spreadsheetml.worksheet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10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9.xml" ContentType="application/vnd.openxmlformats-officedocument.spreadsheetml.worksheet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Index" sheetId="1" state="visible" r:id="rId3"/>
    <sheet name="1.1 FY2016" sheetId="2" state="visible" r:id="rId4"/>
    <sheet name="1.2 FY2017" sheetId="3" state="visible" r:id="rId5"/>
    <sheet name="1.3 FY2018" sheetId="4" state="visible" r:id="rId6"/>
    <sheet name="2. Functions --&gt;" sheetId="5" state="visible" r:id="rId7"/>
    <sheet name="2.1 Database" sheetId="6" state="visible" r:id="rId8"/>
    <sheet name="2.2 P&amp;L statement" sheetId="7" state="visible" r:id="rId9"/>
    <sheet name="3. Charts" sheetId="8" state="visible" r:id="rId10"/>
    <sheet name="Stacked column" sheetId="9" state="visible" r:id="rId11"/>
    <sheet name="Dougnut chart" sheetId="10" state="visible" r:id="rId12"/>
    <sheet name="Area chart" sheetId="11" state="visible" r:id="rId13"/>
    <sheet name="Bridge Chart" sheetId="12" state="visible" r:id="rId14"/>
    <sheet name="Sheet1" sheetId="13" state="visible" r:id="rId15"/>
  </sheets>
  <definedNames>
    <definedName function="false" hidden="true" localSheetId="1" name="_xlnm._FilterDatabase" vbProcedure="false">'1.1 FY2016'!$C$4:$G$93</definedName>
    <definedName function="false" hidden="true" localSheetId="2" name="_xlnm._FilterDatabase" vbProcedure="false">'1.2 FY2017'!$B$4:$F$127</definedName>
    <definedName function="false" hidden="true" localSheetId="3" name="_xlnm._FilterDatabase" vbProcedure="false">'1.3 FY2018'!$B$4:$F$115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<sst xmlns="http://schemas.openxmlformats.org/spreadsheetml/2006/main" count="763" uniqueCount="180">
  <si>
    <t xml:space="preserve">Case study</t>
  </si>
  <si>
    <t xml:space="preserve">Sheet index</t>
  </si>
  <si>
    <t xml:space="preserve">#                </t>
  </si>
  <si>
    <t xml:space="preserve">Worksheet</t>
  </si>
  <si>
    <t xml:space="preserve">Notes</t>
  </si>
  <si>
    <t xml:space="preserve">Index</t>
  </si>
  <si>
    <t xml:space="preserve">1. P&amp;L extractions --&gt;</t>
  </si>
  <si>
    <t xml:space="preserve">1.1 FY2016</t>
  </si>
  <si>
    <t xml:space="preserve">1.2 FY2017</t>
  </si>
  <si>
    <t xml:space="preserve">1.3 FY2018</t>
  </si>
  <si>
    <t xml:space="preserve">2. Functions --&gt;</t>
  </si>
  <si>
    <t xml:space="preserve">2.1 Database</t>
  </si>
  <si>
    <t xml:space="preserve">2.2 P&amp;L statement</t>
  </si>
  <si>
    <t xml:space="preserve">3. Charts</t>
  </si>
  <si>
    <t xml:space="preserve">3.1 Column stacked chart with a secondary axis</t>
  </si>
  <si>
    <t xml:space="preserve">3.2 Doughnut chart</t>
  </si>
  <si>
    <t xml:space="preserve">3.3 Area chart</t>
  </si>
  <si>
    <t xml:space="preserve">3.4 Bridge chart</t>
  </si>
  <si>
    <t xml:space="preserve">FY2016</t>
  </si>
  <si>
    <t xml:space="preserve">Code</t>
  </si>
  <si>
    <t xml:space="preserve">P&amp;L account</t>
  </si>
  <si>
    <t xml:space="preserve">Partner company</t>
  </si>
  <si>
    <t xml:space="preserve">Name of partner company</t>
  </si>
  <si>
    <t xml:space="preserve">Amounts</t>
  </si>
  <si>
    <t xml:space="preserve">Account number</t>
  </si>
  <si>
    <t xml:space="preserve">2001110000111111</t>
  </si>
  <si>
    <t xml:space="preserve">Core business revenues</t>
  </si>
  <si>
    <t xml:space="preserve">External</t>
  </si>
  <si>
    <t xml:space="preserve">2001190000111111</t>
  </si>
  <si>
    <t xml:space="preserve">Other revenues</t>
  </si>
  <si>
    <t xml:space="preserve">20200000001009</t>
  </si>
  <si>
    <t xml:space="preserve">Capitalized costs</t>
  </si>
  <si>
    <t xml:space="preserve">Green Ventures Ltd</t>
  </si>
  <si>
    <t xml:space="preserve">20200000001007</t>
  </si>
  <si>
    <t xml:space="preserve">Generco Sunshine JSC</t>
  </si>
  <si>
    <t xml:space="preserve">20200000001008</t>
  </si>
  <si>
    <t xml:space="preserve">Greenco Ltd</t>
  </si>
  <si>
    <t xml:space="preserve">2020000000111101</t>
  </si>
  <si>
    <t xml:space="preserve">Not assigned</t>
  </si>
  <si>
    <t xml:space="preserve">2021900000111111</t>
  </si>
  <si>
    <t xml:space="preserve">Direct costs</t>
  </si>
  <si>
    <t xml:space="preserve">2024080000111111</t>
  </si>
  <si>
    <t xml:space="preserve">Freight outbound expenses</t>
  </si>
  <si>
    <t xml:space="preserve">202409000088</t>
  </si>
  <si>
    <t xml:space="preserve">R&amp;D expenses</t>
  </si>
  <si>
    <t xml:space="preserve">Generco Ltd</t>
  </si>
  <si>
    <t xml:space="preserve">2024090000111111</t>
  </si>
  <si>
    <t xml:space="preserve">2041000000111111</t>
  </si>
  <si>
    <t xml:space="preserve">Wages and salaries</t>
  </si>
  <si>
    <t xml:space="preserve">2042000000111101</t>
  </si>
  <si>
    <t xml:space="preserve">Pension contributions</t>
  </si>
  <si>
    <t xml:space="preserve">204200000088</t>
  </si>
  <si>
    <t xml:space="preserve">2045000000111101</t>
  </si>
  <si>
    <t xml:space="preserve">Severance indemnity contribution</t>
  </si>
  <si>
    <t xml:space="preserve">2051210000111101</t>
  </si>
  <si>
    <t xml:space="preserve">D&amp;A</t>
  </si>
  <si>
    <t xml:space="preserve">20512100001</t>
  </si>
  <si>
    <t xml:space="preserve">20690100001</t>
  </si>
  <si>
    <t xml:space="preserve">Corporate recharges</t>
  </si>
  <si>
    <t xml:space="preserve">1</t>
  </si>
  <si>
    <t xml:space="preserve">Greeny Ltd</t>
  </si>
  <si>
    <t xml:space="preserve">206901000014</t>
  </si>
  <si>
    <t xml:space="preserve">Generco Cosmetics Ltd</t>
  </si>
  <si>
    <t xml:space="preserve">20690100001037</t>
  </si>
  <si>
    <t xml:space="preserve">Generco Canada JSC</t>
  </si>
  <si>
    <t xml:space="preserve">20690100001087</t>
  </si>
  <si>
    <t xml:space="preserve">1087</t>
  </si>
  <si>
    <t xml:space="preserve">Gener Beauty GmbH</t>
  </si>
  <si>
    <t xml:space="preserve">20690100001009</t>
  </si>
  <si>
    <t xml:space="preserve">20690100001007</t>
  </si>
  <si>
    <t xml:space="preserve">20690100001008</t>
  </si>
  <si>
    <t xml:space="preserve">20690100001240</t>
  </si>
  <si>
    <t xml:space="preserve">Generco UK </t>
  </si>
  <si>
    <t xml:space="preserve">2069010000111111</t>
  </si>
  <si>
    <t xml:space="preserve">2069980000111111</t>
  </si>
  <si>
    <t xml:space="preserve">Other income</t>
  </si>
  <si>
    <t xml:space="preserve">2070400000111111</t>
  </si>
  <si>
    <t xml:space="preserve">Marketing expenses</t>
  </si>
  <si>
    <t xml:space="preserve">207050000088</t>
  </si>
  <si>
    <t xml:space="preserve">Software&amp;IT</t>
  </si>
  <si>
    <t xml:space="preserve">2070500000111111</t>
  </si>
  <si>
    <t xml:space="preserve">2070600000111111</t>
  </si>
  <si>
    <t xml:space="preserve">Leasings</t>
  </si>
  <si>
    <t xml:space="preserve">207090000043</t>
  </si>
  <si>
    <t xml:space="preserve">Service expenses</t>
  </si>
  <si>
    <t xml:space="preserve">43</t>
  </si>
  <si>
    <t xml:space="preserve">Greeny France SL</t>
  </si>
  <si>
    <t xml:space="preserve">20709000002240</t>
  </si>
  <si>
    <t xml:space="preserve">2240</t>
  </si>
  <si>
    <t xml:space="preserve">Greeny Germany GmbH</t>
  </si>
  <si>
    <t xml:space="preserve">2070900000111111</t>
  </si>
  <si>
    <t xml:space="preserve">2071000000111111</t>
  </si>
  <si>
    <t xml:space="preserve">Charges and contributions</t>
  </si>
  <si>
    <t xml:space="preserve">2071100000111111</t>
  </si>
  <si>
    <t xml:space="preserve">Insurance expenses</t>
  </si>
  <si>
    <t xml:space="preserve">2071209200111111</t>
  </si>
  <si>
    <t xml:space="preserve">Travel expenses</t>
  </si>
  <si>
    <t xml:space="preserve">2071209400111111</t>
  </si>
  <si>
    <t xml:space="preserve">Utility expenses</t>
  </si>
  <si>
    <t xml:space="preserve">2071209500111111</t>
  </si>
  <si>
    <t xml:space="preserve">Legal expenses</t>
  </si>
  <si>
    <t xml:space="preserve">2071980000111101</t>
  </si>
  <si>
    <t xml:space="preserve">Misc costs</t>
  </si>
  <si>
    <t xml:space="preserve">2079022000111111</t>
  </si>
  <si>
    <t xml:space="preserve">Consulting fees</t>
  </si>
  <si>
    <t xml:space="preserve">2079070000105</t>
  </si>
  <si>
    <t xml:space="preserve">Misc extraordinary expenses</t>
  </si>
  <si>
    <t xml:space="preserve">Generco Healthcare Ltd</t>
  </si>
  <si>
    <t xml:space="preserve">2079070000111111</t>
  </si>
  <si>
    <t xml:space="preserve">20790800001009</t>
  </si>
  <si>
    <t xml:space="preserve">Difference from eliminations</t>
  </si>
  <si>
    <t xml:space="preserve">20790800001007</t>
  </si>
  <si>
    <t xml:space="preserve">20790800001008</t>
  </si>
  <si>
    <t xml:space="preserve">20822800001009</t>
  </si>
  <si>
    <t xml:space="preserve">Interest income</t>
  </si>
  <si>
    <t xml:space="preserve">20822800001007</t>
  </si>
  <si>
    <t xml:space="preserve">20822800001008</t>
  </si>
  <si>
    <t xml:space="preserve">20822800001240</t>
  </si>
  <si>
    <t xml:space="preserve">2082280000111111</t>
  </si>
  <si>
    <t xml:space="preserve">2082202000111101</t>
  </si>
  <si>
    <t xml:space="preserve">Capitalized interest</t>
  </si>
  <si>
    <t xml:space="preserve">2082208200111101</t>
  </si>
  <si>
    <t xml:space="preserve">Non-recurring costs</t>
  </si>
  <si>
    <t xml:space="preserve">208221400088</t>
  </si>
  <si>
    <t xml:space="preserve">Interest expenses</t>
  </si>
  <si>
    <t xml:space="preserve">2091200000111101</t>
  </si>
  <si>
    <t xml:space="preserve">Current taxes</t>
  </si>
  <si>
    <t xml:space="preserve">2091200001111101</t>
  </si>
  <si>
    <t xml:space="preserve">Regional taxes</t>
  </si>
  <si>
    <t xml:space="preserve">2092200000111101</t>
  </si>
  <si>
    <t xml:space="preserve">Deferred taxes</t>
  </si>
  <si>
    <t xml:space="preserve">2999999999111101</t>
  </si>
  <si>
    <t xml:space="preserve">Net income/(loss)</t>
  </si>
  <si>
    <t xml:space="preserve">FY2017</t>
  </si>
  <si>
    <t xml:space="preserve">Partner company number</t>
  </si>
  <si>
    <t xml:space="preserve">Total</t>
  </si>
  <si>
    <t xml:space="preserve">1086</t>
  </si>
  <si>
    <t xml:space="preserve">G&amp;Resources Ltd</t>
  </si>
  <si>
    <t xml:space="preserve">Utility charges</t>
  </si>
  <si>
    <t xml:space="preserve">1283</t>
  </si>
  <si>
    <t xml:space="preserve">Generco Ventures Ltd</t>
  </si>
  <si>
    <t xml:space="preserve">1924</t>
  </si>
  <si>
    <t xml:space="preserve">Generco Infrastructure Ltd</t>
  </si>
  <si>
    <t xml:space="preserve">2486</t>
  </si>
  <si>
    <t xml:space="preserve">Generco Exloration Ltd</t>
  </si>
  <si>
    <t xml:space="preserve">Social security payments</t>
  </si>
  <si>
    <t xml:space="preserve">Other personnel expenses</t>
  </si>
  <si>
    <t xml:space="preserve">Gains from disposal of PP&amp;E</t>
  </si>
  <si>
    <t xml:space="preserve">1076</t>
  </si>
  <si>
    <t xml:space="preserve">Generco Trading Ltd</t>
  </si>
  <si>
    <t xml:space="preserve">Generco Semiconductors Ltd</t>
  </si>
  <si>
    <t xml:space="preserve">47037</t>
  </si>
  <si>
    <t xml:space="preserve">G&amp;CR Global Ltd</t>
  </si>
  <si>
    <t xml:space="preserve">Concession fees other</t>
  </si>
  <si>
    <t xml:space="preserve">Generco Metals Gm</t>
  </si>
  <si>
    <t xml:space="preserve">1118</t>
  </si>
  <si>
    <t xml:space="preserve">Gener Green LLC</t>
  </si>
  <si>
    <t xml:space="preserve">Losses fr disposal of PPE</t>
  </si>
  <si>
    <t xml:space="preserve">Other operative currency differences</t>
  </si>
  <si>
    <t xml:space="preserve">Property tax</t>
  </si>
  <si>
    <t xml:space="preserve">Generco Mining GmbH</t>
  </si>
  <si>
    <t xml:space="preserve">Impairment of participation</t>
  </si>
  <si>
    <t xml:space="preserve">Quarterly changes in current taxes</t>
  </si>
  <si>
    <t xml:space="preserve">FY2018</t>
  </si>
  <si>
    <t xml:space="preserve">Item</t>
  </si>
  <si>
    <t xml:space="preserve">Utility charges </t>
  </si>
  <si>
    <t xml:space="preserve">Operating expenses for utilities</t>
  </si>
  <si>
    <t xml:space="preserve">2185</t>
  </si>
  <si>
    <t xml:space="preserve">Generco Green Projects GmbH</t>
  </si>
  <si>
    <t xml:space="preserve">Generco Risk Management Ltd</t>
  </si>
  <si>
    <t xml:space="preserve">Reimbursements+compensation for damages</t>
  </si>
  <si>
    <t xml:space="preserve">Repairs/Maintenance costs</t>
  </si>
  <si>
    <t xml:space="preserve">Offset segments (tech.)</t>
  </si>
  <si>
    <t xml:space="preserve">Creating a "Database"</t>
  </si>
  <si>
    <t xml:space="preserve">P&amp;L Account</t>
  </si>
  <si>
    <t xml:space="preserve"> Company</t>
  </si>
  <si>
    <t xml:space="preserve">Partner Comapny</t>
  </si>
  <si>
    <t xml:space="preserve">FY16</t>
  </si>
  <si>
    <t xml:space="preserve">FY17</t>
  </si>
  <si>
    <t xml:space="preserve">FY18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</si>
</sst>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_(* #,##0.00_);_(* \(#,##0.00\);_(* \-??_);_(@_)"/>
    <numFmt numFmtId="166" formatCode="_(* #,##0_);_(* \(#,##0\);_(* \-??_);_(@_)"/>
  </numFmts>
  <fonts count="17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9"/>
      <color rgb="FF1F497D"/>
      <name val="Calibri"/>
      <family val="2"/>
      <charset val="1"/>
    </font>
    <font>
      <sz val="9"/>
      <color rgb="FF000000"/>
      <name val="Arial"/>
      <family val="2"/>
      <charset val="1"/>
    </font>
    <font>
      <b val="true"/>
      <sz val="12"/>
      <color rgb="FF002060"/>
      <name val="Arial"/>
      <family val="2"/>
      <charset val="1"/>
    </font>
    <font>
      <b val="true"/>
      <sz val="9"/>
      <color rgb="FF002060"/>
      <name val="Arial"/>
      <family val="2"/>
      <charset val="1"/>
    </font>
    <font>
      <b val="true"/>
      <sz val="9"/>
      <color rgb="FF1F497D"/>
      <name val="Arial"/>
      <family val="2"/>
      <charset val="1"/>
    </font>
    <font>
      <sz val="8"/>
      <color rgb="FF000000"/>
      <name val="Arial"/>
      <family val="2"/>
      <charset val="1"/>
    </font>
    <font>
      <sz val="9"/>
      <color rgb="FF0000FF"/>
      <name val="Arial"/>
      <family val="2"/>
      <charset val="1"/>
    </font>
    <font>
      <u val="single"/>
      <sz val="11"/>
      <color rgb="FF0000FF"/>
      <name val="Calibri"/>
      <family val="2"/>
      <charset val="1"/>
    </font>
    <font>
      <b val="true"/>
      <sz val="8"/>
      <color rgb="FFFFFFFF"/>
      <name val="Arial"/>
      <family val="2"/>
      <charset val="1"/>
    </font>
    <font>
      <b val="true"/>
      <sz val="9"/>
      <color rgb="FFFFFFFF"/>
      <name val="Arial"/>
      <family val="2"/>
      <charset val="1"/>
    </font>
    <font>
      <sz val="9"/>
      <color rgb="FF0000FF"/>
      <name val="Arial"/>
      <family val="2"/>
      <charset val="204"/>
    </font>
    <font>
      <sz val="8"/>
      <color rgb="FFFFFFFF"/>
      <name val="Arial"/>
      <family val="2"/>
      <charset val="1"/>
    </font>
    <font>
      <sz val="9"/>
      <color rgb="FFFFFFFF"/>
      <name val="Arial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002060"/>
        <bgColor rgb="FF000080"/>
      </patternFill>
    </fill>
    <fill>
      <patternFill patternType="solid">
        <fgColor rgb="FFFFFF00"/>
        <bgColor rgb="FFFFFF00"/>
      </patternFill>
    </fill>
  </fills>
  <borders count="3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4F81BD"/>
      </bottom>
      <diagonal/>
    </border>
    <border diagonalUp="false" diagonalDown="false">
      <left/>
      <right/>
      <top/>
      <bottom style="medium">
        <color rgb="FF002060"/>
      </bottom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11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1" applyFont="true" applyBorder="true" applyAlignment="true" applyProtection="false">
      <alignment horizontal="right" vertical="bottom" textRotation="0" wrapText="true" indent="0" shrinkToFit="false"/>
    </xf>
  </cellStyleXfs>
  <cellXfs count="2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2" borderId="1" xfId="21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64" fontId="9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0" fillId="2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3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3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2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5" fillId="3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6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6" fontId="5" fillId="2" borderId="0" xfId="15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5" fillId="4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6" fontId="5" fillId="4" borderId="0" xfId="15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4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5" fillId="2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2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8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Smart Subtitle 1" xfId="21"/>
    <cellStyle name="*unknown*" xfId="20" builtinId="8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4F81BD"/>
      <rgbColor rgb="FF969696"/>
      <rgbColor rgb="FF002060"/>
      <rgbColor rgb="FF339966"/>
      <rgbColor rgb="FF003300"/>
      <rgbColor rgb="FF333300"/>
      <rgbColor rgb="FF993300"/>
      <rgbColor rgb="FF993366"/>
      <rgbColor rgb="FF1F497D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D17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RowHeight="11.45" zeroHeight="false" outlineLevelRow="0" outlineLevelCol="0"/>
  <cols>
    <col collapsed="false" customWidth="true" hidden="false" outlineLevel="0" max="1" min="1" style="1" width="2"/>
    <col collapsed="false" customWidth="true" hidden="false" outlineLevel="0" max="2" min="2" style="1" width="10"/>
    <col collapsed="false" customWidth="true" hidden="false" outlineLevel="0" max="3" min="3" style="1" width="26"/>
    <col collapsed="false" customWidth="true" hidden="false" outlineLevel="0" max="4" min="4" style="1" width="19.43"/>
    <col collapsed="false" customWidth="true" hidden="false" outlineLevel="0" max="1025" min="5" style="1" width="9.14"/>
  </cols>
  <sheetData>
    <row r="1" customFormat="false" ht="15.6" hidden="false" customHeight="false" outlineLevel="0" collapsed="false">
      <c r="B1" s="2" t="s">
        <v>0</v>
      </c>
    </row>
    <row r="2" customFormat="false" ht="12" hidden="false" customHeight="false" outlineLevel="0" collapsed="false">
      <c r="B2" s="3" t="s">
        <v>1</v>
      </c>
    </row>
    <row r="4" customFormat="false" ht="12.6" hidden="false" customHeight="false" outlineLevel="0" collapsed="false">
      <c r="B4" s="4" t="s">
        <v>2</v>
      </c>
      <c r="C4" s="4" t="s">
        <v>3</v>
      </c>
      <c r="D4" s="4" t="s">
        <v>4</v>
      </c>
    </row>
    <row r="5" customFormat="false" ht="11.45" hidden="false" customHeight="false" outlineLevel="0" collapsed="false">
      <c r="B5" s="5" t="n">
        <v>1</v>
      </c>
      <c r="C5" s="6" t="s">
        <v>5</v>
      </c>
    </row>
    <row r="6" customFormat="false" ht="12" hidden="false" customHeight="false" outlineLevel="0" collapsed="false">
      <c r="B6" s="7" t="n">
        <v>2</v>
      </c>
      <c r="C6" s="8" t="s">
        <v>6</v>
      </c>
      <c r="D6" s="8"/>
    </row>
    <row r="7" customFormat="false" ht="11.45" hidden="false" customHeight="false" outlineLevel="0" collapsed="false">
      <c r="B7" s="5" t="n">
        <v>3</v>
      </c>
      <c r="C7" s="9" t="s">
        <v>7</v>
      </c>
    </row>
    <row r="8" customFormat="false" ht="11.45" hidden="false" customHeight="false" outlineLevel="0" collapsed="false">
      <c r="B8" s="5" t="n">
        <v>4</v>
      </c>
      <c r="C8" s="9" t="s">
        <v>8</v>
      </c>
    </row>
    <row r="9" customFormat="false" ht="11.45" hidden="false" customHeight="false" outlineLevel="0" collapsed="false">
      <c r="B9" s="5" t="n">
        <v>5</v>
      </c>
      <c r="C9" s="9" t="s">
        <v>9</v>
      </c>
    </row>
    <row r="10" customFormat="false" ht="12" hidden="false" customHeight="false" outlineLevel="0" collapsed="false">
      <c r="B10" s="7" t="n">
        <v>6</v>
      </c>
      <c r="C10" s="8" t="s">
        <v>10</v>
      </c>
      <c r="D10" s="8"/>
    </row>
    <row r="11" customFormat="false" ht="11.45" hidden="false" customHeight="false" outlineLevel="0" collapsed="false">
      <c r="B11" s="5" t="n">
        <v>7</v>
      </c>
      <c r="C11" s="6" t="s">
        <v>11</v>
      </c>
    </row>
    <row r="12" customFormat="false" ht="11.45" hidden="false" customHeight="false" outlineLevel="0" collapsed="false">
      <c r="B12" s="5" t="n">
        <v>8</v>
      </c>
      <c r="C12" s="6" t="s">
        <v>12</v>
      </c>
    </row>
    <row r="13" customFormat="false" ht="12" hidden="false" customHeight="false" outlineLevel="0" collapsed="false">
      <c r="B13" s="10" t="n">
        <v>19</v>
      </c>
      <c r="C13" s="8" t="s">
        <v>13</v>
      </c>
      <c r="D13" s="11"/>
    </row>
    <row r="14" customFormat="false" ht="11.45" hidden="false" customHeight="false" outlineLevel="0" collapsed="false">
      <c r="B14" s="5" t="n">
        <v>20</v>
      </c>
      <c r="C14" s="6" t="s">
        <v>14</v>
      </c>
    </row>
    <row r="15" customFormat="false" ht="11.45" hidden="false" customHeight="false" outlineLevel="0" collapsed="false">
      <c r="B15" s="5" t="n">
        <v>21</v>
      </c>
      <c r="C15" s="6" t="s">
        <v>15</v>
      </c>
    </row>
    <row r="16" customFormat="false" ht="11.45" hidden="false" customHeight="false" outlineLevel="0" collapsed="false">
      <c r="B16" s="5" t="n">
        <v>22</v>
      </c>
      <c r="C16" s="6" t="s">
        <v>16</v>
      </c>
    </row>
    <row r="17" customFormat="false" ht="11.45" hidden="false" customHeight="false" outlineLevel="0" collapsed="false">
      <c r="B17" s="5" t="n">
        <v>23</v>
      </c>
      <c r="C17" s="6" t="s">
        <v>17</v>
      </c>
    </row>
  </sheetData>
  <hyperlinks>
    <hyperlink ref="C7" location="'1.1 FY2016'!A1" display="1.1 FY2016"/>
    <hyperlink ref="C8" location="'1.2 FY2017'!A1" display="1.2 FY2017"/>
    <hyperlink ref="C9" location="'1.3 FY2018'!A1" display="1.3 FY2018"/>
    <hyperlink ref="C11" location="'2.1 Database'!A1" display="2.1 Database"/>
    <hyperlink ref="C12" location="'2.2 P&amp;L statement'!A1" display="2.2 P&amp;L statement"/>
    <hyperlink ref="C14" location="'Stacked column'!A1" display="3.1 Column stacked chart with a secondary axis"/>
    <hyperlink ref="C15" location="'Dougnut chart'!A1" display="3.2 Doughnut chart"/>
    <hyperlink ref="C16" location="'Area chart'!A1" display="3.3 Area chart"/>
    <hyperlink ref="C17" location="'Bridge Chart'!A1" display="3.4 Bridge chart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G12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RowHeight="11.45" zeroHeight="false" outlineLevelRow="0" outlineLevelCol="0"/>
  <cols>
    <col collapsed="false" customWidth="true" hidden="false" outlineLevel="0" max="1" min="1" style="1" width="2"/>
    <col collapsed="false" customWidth="true" hidden="false" outlineLevel="0" max="2" min="2" style="1" width="12.14"/>
    <col collapsed="false" customWidth="true" hidden="false" outlineLevel="0" max="3" min="3" style="1" width="30"/>
    <col collapsed="false" customWidth="true" hidden="false" outlineLevel="0" max="4" min="4" style="1" width="23.85"/>
    <col collapsed="false" customWidth="true" hidden="false" outlineLevel="0" max="5" min="5" style="1" width="36.57"/>
    <col collapsed="false" customWidth="true" hidden="false" outlineLevel="0" max="6" min="6" style="1" width="11.71"/>
    <col collapsed="false" customWidth="true" hidden="false" outlineLevel="0" max="7" min="7" style="1" width="11"/>
    <col collapsed="false" customWidth="true" hidden="false" outlineLevel="0" max="8" min="8" style="1" width="17.28"/>
    <col collapsed="false" customWidth="true" hidden="false" outlineLevel="0" max="1025" min="9" style="1" width="9.14"/>
  </cols>
  <sheetData>
    <row r="1" customFormat="false" ht="15.75" hidden="false" customHeight="false" outlineLevel="0" collapsed="false">
      <c r="C1" s="2" t="s">
        <v>18</v>
      </c>
    </row>
    <row r="4" customFormat="false" ht="12" hidden="false" customHeight="false" outlineLevel="0" collapsed="false">
      <c r="B4" s="1" t="s">
        <v>19</v>
      </c>
      <c r="C4" s="12" t="s">
        <v>20</v>
      </c>
      <c r="D4" s="12" t="s">
        <v>21</v>
      </c>
      <c r="E4" s="12" t="s">
        <v>22</v>
      </c>
      <c r="F4" s="12" t="s">
        <v>23</v>
      </c>
      <c r="G4" s="12" t="s">
        <v>24</v>
      </c>
    </row>
    <row r="5" customFormat="false" ht="12" hidden="false" customHeight="false" outlineLevel="0" collapsed="false">
      <c r="B5" s="1" t="s">
        <v>25</v>
      </c>
      <c r="C5" s="12" t="s">
        <v>26</v>
      </c>
      <c r="D5" s="12" t="n">
        <v>111111</v>
      </c>
      <c r="E5" s="12" t="s">
        <v>27</v>
      </c>
      <c r="F5" s="13" t="n">
        <v>-14500341</v>
      </c>
      <c r="G5" s="14" t="n">
        <v>2001110000</v>
      </c>
    </row>
    <row r="6" customFormat="false" ht="12" hidden="false" customHeight="false" outlineLevel="0" collapsed="false">
      <c r="C6" s="12"/>
      <c r="D6" s="12"/>
      <c r="E6" s="12"/>
      <c r="F6" s="13"/>
      <c r="G6" s="14"/>
    </row>
    <row r="7" customFormat="false" ht="12" hidden="false" customHeight="false" outlineLevel="0" collapsed="false">
      <c r="B7" s="1" t="s">
        <v>28</v>
      </c>
      <c r="C7" s="12" t="s">
        <v>29</v>
      </c>
      <c r="D7" s="12" t="n">
        <v>111111</v>
      </c>
      <c r="E7" s="12" t="s">
        <v>27</v>
      </c>
      <c r="F7" s="13" t="n">
        <v>-4794856.192</v>
      </c>
      <c r="G7" s="14" t="n">
        <v>2001190000</v>
      </c>
    </row>
    <row r="8" customFormat="false" ht="12" hidden="false" customHeight="false" outlineLevel="0" collapsed="false">
      <c r="C8" s="12"/>
      <c r="D8" s="12"/>
      <c r="E8" s="12"/>
      <c r="F8" s="13"/>
      <c r="G8" s="14"/>
    </row>
    <row r="9" customFormat="false" ht="12" hidden="false" customHeight="false" outlineLevel="0" collapsed="false">
      <c r="B9" s="1" t="s">
        <v>30</v>
      </c>
      <c r="C9" s="12" t="s">
        <v>31</v>
      </c>
      <c r="D9" s="12" t="n">
        <v>1009</v>
      </c>
      <c r="E9" s="12" t="s">
        <v>32</v>
      </c>
      <c r="F9" s="13" t="n">
        <v>-154890.4</v>
      </c>
      <c r="G9" s="14" t="n">
        <v>2020000000</v>
      </c>
    </row>
    <row r="10" customFormat="false" ht="12" hidden="false" customHeight="false" outlineLevel="0" collapsed="false">
      <c r="B10" s="1" t="s">
        <v>33</v>
      </c>
      <c r="C10" s="12" t="s">
        <v>31</v>
      </c>
      <c r="D10" s="12" t="n">
        <v>1007</v>
      </c>
      <c r="E10" s="12" t="s">
        <v>34</v>
      </c>
      <c r="F10" s="13" t="n">
        <v>-1180894.052</v>
      </c>
      <c r="G10" s="14" t="n">
        <v>2020000000</v>
      </c>
    </row>
    <row r="11" customFormat="false" ht="12" hidden="false" customHeight="false" outlineLevel="0" collapsed="false">
      <c r="B11" s="1" t="s">
        <v>35</v>
      </c>
      <c r="C11" s="12" t="s">
        <v>31</v>
      </c>
      <c r="D11" s="12" t="n">
        <v>1008</v>
      </c>
      <c r="E11" s="12" t="s">
        <v>36</v>
      </c>
      <c r="F11" s="13" t="n">
        <v>-793079.512</v>
      </c>
      <c r="G11" s="14" t="n">
        <v>2020000000</v>
      </c>
    </row>
    <row r="12" customFormat="false" ht="12" hidden="false" customHeight="false" outlineLevel="0" collapsed="false">
      <c r="B12" s="1" t="s">
        <v>37</v>
      </c>
      <c r="C12" s="12" t="s">
        <v>31</v>
      </c>
      <c r="D12" s="12" t="n">
        <v>111101</v>
      </c>
      <c r="E12" s="12" t="s">
        <v>38</v>
      </c>
      <c r="F12" s="13" t="n">
        <v>-2277197.6</v>
      </c>
      <c r="G12" s="14" t="n">
        <v>2020000000</v>
      </c>
    </row>
    <row r="13" customFormat="false" ht="12" hidden="false" customHeight="false" outlineLevel="0" collapsed="false">
      <c r="C13" s="12"/>
      <c r="D13" s="12"/>
      <c r="E13" s="12"/>
      <c r="F13" s="13"/>
      <c r="G13" s="14"/>
    </row>
    <row r="14" customFormat="false" ht="12" hidden="false" customHeight="false" outlineLevel="0" collapsed="false">
      <c r="B14" s="1" t="s">
        <v>39</v>
      </c>
      <c r="C14" s="12" t="s">
        <v>40</v>
      </c>
      <c r="D14" s="12" t="n">
        <v>111111</v>
      </c>
      <c r="E14" s="12" t="s">
        <v>27</v>
      </c>
      <c r="F14" s="13" t="n">
        <v>4428911.764</v>
      </c>
      <c r="G14" s="14" t="n">
        <v>2021900000</v>
      </c>
    </row>
    <row r="15" customFormat="false" ht="12" hidden="false" customHeight="false" outlineLevel="0" collapsed="false">
      <c r="C15" s="12"/>
      <c r="D15" s="12"/>
      <c r="E15" s="12"/>
      <c r="F15" s="13"/>
      <c r="G15" s="14"/>
    </row>
    <row r="16" customFormat="false" ht="12" hidden="false" customHeight="false" outlineLevel="0" collapsed="false">
      <c r="B16" s="1" t="s">
        <v>41</v>
      </c>
      <c r="C16" s="12" t="s">
        <v>42</v>
      </c>
      <c r="D16" s="12" t="n">
        <v>111111</v>
      </c>
      <c r="E16" s="12" t="s">
        <v>27</v>
      </c>
      <c r="F16" s="13" t="n">
        <v>16977.628</v>
      </c>
      <c r="G16" s="14" t="n">
        <v>2024080000</v>
      </c>
    </row>
    <row r="17" customFormat="false" ht="11.25" hidden="false" customHeight="true" outlineLevel="0" collapsed="false">
      <c r="C17" s="12"/>
      <c r="D17" s="12"/>
      <c r="E17" s="12"/>
      <c r="F17" s="13"/>
      <c r="G17" s="14"/>
    </row>
    <row r="18" customFormat="false" ht="12" hidden="false" customHeight="false" outlineLevel="0" collapsed="false">
      <c r="B18" s="1" t="s">
        <v>43</v>
      </c>
      <c r="C18" s="12" t="s">
        <v>44</v>
      </c>
      <c r="D18" s="12" t="n">
        <v>88</v>
      </c>
      <c r="E18" s="12" t="s">
        <v>45</v>
      </c>
      <c r="F18" s="13" t="n">
        <v>2245437.54</v>
      </c>
      <c r="G18" s="14" t="n">
        <v>2024090000</v>
      </c>
    </row>
    <row r="19" customFormat="false" ht="12" hidden="false" customHeight="false" outlineLevel="0" collapsed="false">
      <c r="B19" s="1" t="s">
        <v>46</v>
      </c>
      <c r="C19" s="12" t="s">
        <v>44</v>
      </c>
      <c r="D19" s="12" t="n">
        <v>111111</v>
      </c>
      <c r="E19" s="12" t="s">
        <v>27</v>
      </c>
      <c r="F19" s="13" t="n">
        <v>16605.634</v>
      </c>
      <c r="G19" s="14" t="n">
        <v>2024090000</v>
      </c>
    </row>
    <row r="20" customFormat="false" ht="12" hidden="false" customHeight="false" outlineLevel="0" collapsed="false">
      <c r="C20" s="12"/>
      <c r="D20" s="12"/>
      <c r="E20" s="12"/>
      <c r="F20" s="13"/>
      <c r="G20" s="14"/>
    </row>
    <row r="21" customFormat="false" ht="12" hidden="false" customHeight="false" outlineLevel="0" collapsed="false">
      <c r="B21" s="1" t="s">
        <v>47</v>
      </c>
      <c r="C21" s="12" t="s">
        <v>48</v>
      </c>
      <c r="D21" s="12" t="n">
        <v>111111</v>
      </c>
      <c r="E21" s="12" t="s">
        <v>27</v>
      </c>
      <c r="F21" s="13" t="n">
        <v>4683394.046</v>
      </c>
      <c r="G21" s="14" t="n">
        <v>2041000000</v>
      </c>
    </row>
    <row r="22" customFormat="false" ht="12" hidden="false" customHeight="false" outlineLevel="0" collapsed="false">
      <c r="C22" s="12"/>
      <c r="D22" s="12"/>
      <c r="E22" s="12"/>
      <c r="F22" s="13"/>
      <c r="G22" s="14"/>
    </row>
    <row r="23" customFormat="false" ht="12" hidden="false" customHeight="false" outlineLevel="0" collapsed="false">
      <c r="B23" s="1" t="s">
        <v>49</v>
      </c>
      <c r="C23" s="12" t="s">
        <v>50</v>
      </c>
      <c r="D23" s="12" t="n">
        <v>111101</v>
      </c>
      <c r="E23" s="12" t="s">
        <v>38</v>
      </c>
      <c r="F23" s="13" t="n">
        <v>1143051.576</v>
      </c>
      <c r="G23" s="14" t="n">
        <v>2042000000</v>
      </c>
    </row>
    <row r="24" customFormat="false" ht="12" hidden="false" customHeight="false" outlineLevel="0" collapsed="false">
      <c r="B24" s="1" t="s">
        <v>51</v>
      </c>
      <c r="C24" s="12" t="s">
        <v>50</v>
      </c>
      <c r="D24" s="12" t="n">
        <v>88</v>
      </c>
      <c r="E24" s="12" t="s">
        <v>45</v>
      </c>
      <c r="F24" s="13" t="n">
        <v>239379.618</v>
      </c>
      <c r="G24" s="14" t="n">
        <v>2042000000</v>
      </c>
    </row>
    <row r="25" customFormat="false" ht="12" hidden="false" customHeight="false" outlineLevel="0" collapsed="false">
      <c r="C25" s="12"/>
      <c r="D25" s="12"/>
      <c r="E25" s="12"/>
      <c r="F25" s="13"/>
      <c r="G25" s="14"/>
    </row>
    <row r="26" customFormat="false" ht="12" hidden="false" customHeight="false" outlineLevel="0" collapsed="false">
      <c r="B26" s="1" t="s">
        <v>52</v>
      </c>
      <c r="C26" s="12" t="s">
        <v>53</v>
      </c>
      <c r="D26" s="12" t="n">
        <v>111101</v>
      </c>
      <c r="E26" s="12" t="s">
        <v>38</v>
      </c>
      <c r="F26" s="13" t="n">
        <v>104913.8</v>
      </c>
      <c r="G26" s="14" t="n">
        <v>2045000000</v>
      </c>
    </row>
    <row r="27" customFormat="false" ht="12" hidden="false" customHeight="false" outlineLevel="0" collapsed="false">
      <c r="C27" s="12"/>
      <c r="D27" s="12"/>
      <c r="E27" s="12"/>
      <c r="F27" s="13"/>
      <c r="G27" s="14"/>
    </row>
    <row r="28" customFormat="false" ht="12" hidden="false" customHeight="false" outlineLevel="0" collapsed="false">
      <c r="B28" s="1" t="s">
        <v>54</v>
      </c>
      <c r="C28" s="12" t="s">
        <v>55</v>
      </c>
      <c r="D28" s="12" t="n">
        <v>111101</v>
      </c>
      <c r="E28" s="12" t="s">
        <v>38</v>
      </c>
      <c r="F28" s="13" t="n">
        <v>2003262.218</v>
      </c>
      <c r="G28" s="14" t="n">
        <v>2051210000</v>
      </c>
    </row>
    <row r="29" customFormat="false" ht="12" hidden="false" customHeight="false" outlineLevel="0" collapsed="false">
      <c r="B29" s="1" t="s">
        <v>56</v>
      </c>
      <c r="C29" s="12" t="s">
        <v>55</v>
      </c>
      <c r="D29" s="12" t="n">
        <v>1</v>
      </c>
      <c r="E29" s="12" t="s">
        <v>38</v>
      </c>
      <c r="F29" s="13" t="n">
        <v>41981.296</v>
      </c>
      <c r="G29" s="14" t="n">
        <v>2051210000</v>
      </c>
    </row>
    <row r="30" customFormat="false" ht="12" hidden="false" customHeight="false" outlineLevel="0" collapsed="false">
      <c r="C30" s="12"/>
      <c r="D30" s="12"/>
      <c r="E30" s="12"/>
      <c r="F30" s="13"/>
      <c r="G30" s="14"/>
    </row>
    <row r="31" customFormat="false" ht="12" hidden="false" customHeight="false" outlineLevel="0" collapsed="false">
      <c r="B31" s="1" t="s">
        <v>57</v>
      </c>
      <c r="C31" s="12" t="s">
        <v>58</v>
      </c>
      <c r="D31" s="12" t="s">
        <v>59</v>
      </c>
      <c r="E31" s="12" t="s">
        <v>60</v>
      </c>
      <c r="F31" s="13" t="n">
        <v>-2156147.4</v>
      </c>
      <c r="G31" s="14" t="n">
        <v>2069010000</v>
      </c>
    </row>
    <row r="32" customFormat="false" ht="12" hidden="false" customHeight="false" outlineLevel="0" collapsed="false">
      <c r="B32" s="1" t="s">
        <v>61</v>
      </c>
      <c r="C32" s="12" t="s">
        <v>58</v>
      </c>
      <c r="D32" s="12" t="n">
        <v>14</v>
      </c>
      <c r="E32" s="12" t="s">
        <v>62</v>
      </c>
      <c r="F32" s="13" t="n">
        <v>-291428.552</v>
      </c>
      <c r="G32" s="14" t="n">
        <v>2069010000</v>
      </c>
    </row>
    <row r="33" customFormat="false" ht="12" hidden="false" customHeight="false" outlineLevel="0" collapsed="false">
      <c r="B33" s="1" t="s">
        <v>63</v>
      </c>
      <c r="C33" s="12" t="s">
        <v>58</v>
      </c>
      <c r="D33" s="12" t="n">
        <v>1037</v>
      </c>
      <c r="E33" s="12" t="s">
        <v>64</v>
      </c>
      <c r="F33" s="13" t="n">
        <v>0</v>
      </c>
      <c r="G33" s="14" t="n">
        <v>2069010000</v>
      </c>
    </row>
    <row r="34" customFormat="false" ht="12" hidden="false" customHeight="false" outlineLevel="0" collapsed="false">
      <c r="B34" s="1" t="s">
        <v>65</v>
      </c>
      <c r="C34" s="12" t="s">
        <v>58</v>
      </c>
      <c r="D34" s="12" t="s">
        <v>66</v>
      </c>
      <c r="E34" s="12" t="s">
        <v>67</v>
      </c>
      <c r="F34" s="13" t="n">
        <v>-33736.5</v>
      </c>
      <c r="G34" s="14" t="n">
        <v>2069010000</v>
      </c>
    </row>
    <row r="35" customFormat="false" ht="12" hidden="false" customHeight="false" outlineLevel="0" collapsed="false">
      <c r="B35" s="1" t="s">
        <v>68</v>
      </c>
      <c r="C35" s="12" t="s">
        <v>58</v>
      </c>
      <c r="D35" s="12" t="n">
        <v>1009</v>
      </c>
      <c r="E35" s="12" t="s">
        <v>32</v>
      </c>
      <c r="F35" s="13" t="n">
        <v>0</v>
      </c>
      <c r="G35" s="14" t="n">
        <v>2069010000</v>
      </c>
    </row>
    <row r="36" customFormat="false" ht="12" hidden="false" customHeight="false" outlineLevel="0" collapsed="false">
      <c r="B36" s="1" t="s">
        <v>69</v>
      </c>
      <c r="C36" s="12" t="s">
        <v>58</v>
      </c>
      <c r="D36" s="12" t="n">
        <v>1007</v>
      </c>
      <c r="E36" s="12" t="s">
        <v>34</v>
      </c>
      <c r="F36" s="13" t="n">
        <v>0</v>
      </c>
      <c r="G36" s="14" t="n">
        <v>2069010000</v>
      </c>
    </row>
    <row r="37" customFormat="false" ht="12" hidden="false" customHeight="false" outlineLevel="0" collapsed="false">
      <c r="B37" s="1" t="s">
        <v>70</v>
      </c>
      <c r="C37" s="12" t="s">
        <v>58</v>
      </c>
      <c r="D37" s="12" t="n">
        <v>1008</v>
      </c>
      <c r="E37" s="12" t="s">
        <v>36</v>
      </c>
      <c r="F37" s="13" t="n">
        <v>0</v>
      </c>
      <c r="G37" s="14" t="n">
        <v>2069010000</v>
      </c>
    </row>
    <row r="38" customFormat="false" ht="12" hidden="false" customHeight="false" outlineLevel="0" collapsed="false">
      <c r="B38" s="1" t="s">
        <v>71</v>
      </c>
      <c r="C38" s="12" t="s">
        <v>58</v>
      </c>
      <c r="D38" s="12" t="n">
        <v>1240</v>
      </c>
      <c r="E38" s="12" t="s">
        <v>72</v>
      </c>
      <c r="F38" s="13" t="n">
        <v>-199600.4</v>
      </c>
      <c r="G38" s="14" t="n">
        <v>2069010000</v>
      </c>
    </row>
    <row r="39" customFormat="false" ht="12" hidden="false" customHeight="false" outlineLevel="0" collapsed="false">
      <c r="B39" s="1" t="s">
        <v>73</v>
      </c>
      <c r="C39" s="12" t="s">
        <v>58</v>
      </c>
      <c r="D39" s="12" t="n">
        <v>111111</v>
      </c>
      <c r="E39" s="12" t="s">
        <v>27</v>
      </c>
      <c r="F39" s="13" t="n">
        <v>-539141.4</v>
      </c>
      <c r="G39" s="14" t="n">
        <v>2069010000</v>
      </c>
    </row>
    <row r="40" customFormat="false" ht="12" hidden="false" customHeight="false" outlineLevel="0" collapsed="false">
      <c r="C40" s="12"/>
      <c r="D40" s="12"/>
      <c r="E40" s="12"/>
      <c r="F40" s="13"/>
      <c r="G40" s="14"/>
    </row>
    <row r="41" customFormat="false" ht="12" hidden="false" customHeight="false" outlineLevel="0" collapsed="false">
      <c r="B41" s="1" t="s">
        <v>74</v>
      </c>
      <c r="C41" s="12" t="s">
        <v>75</v>
      </c>
      <c r="D41" s="12" t="n">
        <v>111111</v>
      </c>
      <c r="E41" s="12" t="s">
        <v>27</v>
      </c>
      <c r="F41" s="13" t="n">
        <v>-57.222</v>
      </c>
      <c r="G41" s="14" t="n">
        <v>2069980000</v>
      </c>
    </row>
    <row r="42" customFormat="false" ht="12" hidden="false" customHeight="false" outlineLevel="0" collapsed="false">
      <c r="C42" s="12"/>
      <c r="D42" s="12"/>
      <c r="E42" s="12"/>
      <c r="F42" s="13"/>
      <c r="G42" s="14"/>
    </row>
    <row r="43" customFormat="false" ht="12" hidden="false" customHeight="false" outlineLevel="0" collapsed="false">
      <c r="B43" s="1" t="s">
        <v>76</v>
      </c>
      <c r="C43" s="12" t="s">
        <v>77</v>
      </c>
      <c r="D43" s="12" t="n">
        <v>111111</v>
      </c>
      <c r="E43" s="12" t="s">
        <v>27</v>
      </c>
      <c r="F43" s="13" t="n">
        <v>22314.88</v>
      </c>
      <c r="G43" s="14" t="n">
        <v>2070400000</v>
      </c>
    </row>
    <row r="44" customFormat="false" ht="12" hidden="false" customHeight="false" outlineLevel="0" collapsed="false">
      <c r="C44" s="12"/>
      <c r="D44" s="12"/>
      <c r="E44" s="12"/>
      <c r="F44" s="13"/>
      <c r="G44" s="14"/>
    </row>
    <row r="45" customFormat="false" ht="12" hidden="false" customHeight="false" outlineLevel="0" collapsed="false">
      <c r="B45" s="1" t="s">
        <v>78</v>
      </c>
      <c r="C45" s="12" t="s">
        <v>79</v>
      </c>
      <c r="D45" s="12" t="n">
        <v>88</v>
      </c>
      <c r="E45" s="12" t="s">
        <v>45</v>
      </c>
      <c r="F45" s="13" t="n">
        <v>204000</v>
      </c>
      <c r="G45" s="14" t="n">
        <v>2070500000</v>
      </c>
    </row>
    <row r="46" customFormat="false" ht="12" hidden="false" customHeight="false" outlineLevel="0" collapsed="false">
      <c r="B46" s="1" t="s">
        <v>80</v>
      </c>
      <c r="C46" s="12" t="s">
        <v>79</v>
      </c>
      <c r="D46" s="12" t="n">
        <v>111111</v>
      </c>
      <c r="E46" s="12" t="s">
        <v>27</v>
      </c>
      <c r="F46" s="13" t="n">
        <v>138.414</v>
      </c>
      <c r="G46" s="14" t="n">
        <v>2070500000</v>
      </c>
    </row>
    <row r="47" customFormat="false" ht="12" hidden="false" customHeight="false" outlineLevel="0" collapsed="false">
      <c r="C47" s="12"/>
      <c r="D47" s="12"/>
      <c r="E47" s="12"/>
      <c r="F47" s="13"/>
      <c r="G47" s="14"/>
    </row>
    <row r="48" customFormat="false" ht="12" hidden="false" customHeight="false" outlineLevel="0" collapsed="false">
      <c r="B48" s="1" t="s">
        <v>81</v>
      </c>
      <c r="C48" s="12" t="s">
        <v>82</v>
      </c>
      <c r="D48" s="12" t="n">
        <v>111111</v>
      </c>
      <c r="E48" s="12" t="s">
        <v>27</v>
      </c>
      <c r="F48" s="13" t="n">
        <v>1127445.872</v>
      </c>
      <c r="G48" s="14" t="n">
        <v>2070600000</v>
      </c>
    </row>
    <row r="49" customFormat="false" ht="12" hidden="false" customHeight="false" outlineLevel="0" collapsed="false">
      <c r="C49" s="12"/>
      <c r="D49" s="12"/>
      <c r="E49" s="12"/>
      <c r="F49" s="13"/>
      <c r="G49" s="14"/>
    </row>
    <row r="50" customFormat="false" ht="12" hidden="false" customHeight="false" outlineLevel="0" collapsed="false">
      <c r="B50" s="1" t="s">
        <v>83</v>
      </c>
      <c r="C50" s="12" t="s">
        <v>84</v>
      </c>
      <c r="D50" s="12" t="s">
        <v>85</v>
      </c>
      <c r="E50" s="12" t="s">
        <v>86</v>
      </c>
      <c r="F50" s="13" t="n">
        <v>133722</v>
      </c>
      <c r="G50" s="14" t="n">
        <v>2070900000</v>
      </c>
    </row>
    <row r="51" customFormat="false" ht="12" hidden="false" customHeight="false" outlineLevel="0" collapsed="false">
      <c r="B51" s="1" t="s">
        <v>87</v>
      </c>
      <c r="C51" s="12" t="s">
        <v>84</v>
      </c>
      <c r="D51" s="12" t="s">
        <v>88</v>
      </c>
      <c r="E51" s="12" t="s">
        <v>89</v>
      </c>
      <c r="F51" s="13" t="n">
        <v>328061.886</v>
      </c>
      <c r="G51" s="14" t="n">
        <v>2070900000</v>
      </c>
    </row>
    <row r="52" customFormat="false" ht="12" hidden="false" customHeight="false" outlineLevel="0" collapsed="false">
      <c r="B52" s="1" t="s">
        <v>90</v>
      </c>
      <c r="C52" s="12" t="s">
        <v>84</v>
      </c>
      <c r="D52" s="12" t="n">
        <v>111111</v>
      </c>
      <c r="E52" s="12" t="s">
        <v>27</v>
      </c>
      <c r="F52" s="13" t="n">
        <v>2081304.322</v>
      </c>
      <c r="G52" s="14" t="n">
        <v>2070900000</v>
      </c>
    </row>
    <row r="53" customFormat="false" ht="12" hidden="false" customHeight="false" outlineLevel="0" collapsed="false">
      <c r="C53" s="12"/>
      <c r="D53" s="12"/>
      <c r="E53" s="12"/>
      <c r="F53" s="13"/>
      <c r="G53" s="14"/>
    </row>
    <row r="54" customFormat="false" ht="12" hidden="false" customHeight="false" outlineLevel="0" collapsed="false">
      <c r="B54" s="1" t="s">
        <v>91</v>
      </c>
      <c r="C54" s="12" t="s">
        <v>92</v>
      </c>
      <c r="D54" s="12" t="n">
        <v>111111</v>
      </c>
      <c r="E54" s="12" t="s">
        <v>27</v>
      </c>
      <c r="F54" s="13" t="n">
        <v>33410.032</v>
      </c>
      <c r="G54" s="14" t="n">
        <v>2071000000</v>
      </c>
    </row>
    <row r="55" customFormat="false" ht="12" hidden="false" customHeight="false" outlineLevel="0" collapsed="false">
      <c r="C55" s="12"/>
      <c r="D55" s="12"/>
      <c r="E55" s="12"/>
      <c r="F55" s="13"/>
      <c r="G55" s="14"/>
    </row>
    <row r="56" customFormat="false" ht="12" hidden="false" customHeight="false" outlineLevel="0" collapsed="false">
      <c r="B56" s="1" t="s">
        <v>93</v>
      </c>
      <c r="C56" s="12" t="s">
        <v>94</v>
      </c>
      <c r="D56" s="12" t="n">
        <v>111111</v>
      </c>
      <c r="E56" s="12" t="s">
        <v>27</v>
      </c>
      <c r="F56" s="13" t="n">
        <v>213090.852</v>
      </c>
      <c r="G56" s="14" t="n">
        <v>2071100000</v>
      </c>
    </row>
    <row r="57" customFormat="false" ht="12" hidden="false" customHeight="false" outlineLevel="0" collapsed="false">
      <c r="C57" s="12"/>
      <c r="D57" s="12"/>
      <c r="E57" s="12"/>
      <c r="F57" s="13"/>
      <c r="G57" s="14"/>
    </row>
    <row r="58" customFormat="false" ht="12" hidden="false" customHeight="false" outlineLevel="0" collapsed="false">
      <c r="B58" s="1" t="s">
        <v>95</v>
      </c>
      <c r="C58" s="12" t="s">
        <v>96</v>
      </c>
      <c r="D58" s="12" t="n">
        <v>111111</v>
      </c>
      <c r="E58" s="12" t="s">
        <v>27</v>
      </c>
      <c r="F58" s="13" t="n">
        <v>1813525.004</v>
      </c>
      <c r="G58" s="14" t="n">
        <v>2071209200</v>
      </c>
    </row>
    <row r="59" customFormat="false" ht="12" hidden="false" customHeight="false" outlineLevel="0" collapsed="false">
      <c r="C59" s="12"/>
      <c r="D59" s="12"/>
      <c r="E59" s="12"/>
      <c r="F59" s="13"/>
      <c r="G59" s="14"/>
    </row>
    <row r="60" customFormat="false" ht="12" hidden="false" customHeight="false" outlineLevel="0" collapsed="false">
      <c r="B60" s="1" t="s">
        <v>97</v>
      </c>
      <c r="C60" s="12" t="s">
        <v>98</v>
      </c>
      <c r="D60" s="12" t="n">
        <v>111111</v>
      </c>
      <c r="E60" s="12" t="s">
        <v>27</v>
      </c>
      <c r="F60" s="13" t="n">
        <v>5552.2</v>
      </c>
      <c r="G60" s="14" t="n">
        <v>2071209400</v>
      </c>
    </row>
    <row r="61" customFormat="false" ht="12" hidden="false" customHeight="false" outlineLevel="0" collapsed="false">
      <c r="C61" s="12"/>
      <c r="D61" s="12"/>
      <c r="E61" s="12"/>
      <c r="F61" s="13"/>
      <c r="G61" s="14"/>
    </row>
    <row r="62" customFormat="false" ht="12" hidden="false" customHeight="false" outlineLevel="0" collapsed="false">
      <c r="B62" s="1" t="s">
        <v>99</v>
      </c>
      <c r="C62" s="12" t="s">
        <v>100</v>
      </c>
      <c r="D62" s="12" t="n">
        <v>111111</v>
      </c>
      <c r="E62" s="12" t="s">
        <v>27</v>
      </c>
      <c r="F62" s="13" t="n">
        <v>43868.976</v>
      </c>
      <c r="G62" s="14" t="n">
        <v>2071209500</v>
      </c>
    </row>
    <row r="63" customFormat="false" ht="12" hidden="false" customHeight="false" outlineLevel="0" collapsed="false">
      <c r="C63" s="12"/>
      <c r="D63" s="12"/>
      <c r="E63" s="12"/>
      <c r="F63" s="13"/>
      <c r="G63" s="14"/>
    </row>
    <row r="64" customFormat="false" ht="12" hidden="false" customHeight="false" outlineLevel="0" collapsed="false">
      <c r="B64" s="1" t="s">
        <v>101</v>
      </c>
      <c r="C64" s="12" t="s">
        <v>102</v>
      </c>
      <c r="D64" s="12" t="n">
        <v>111101</v>
      </c>
      <c r="E64" s="12" t="s">
        <v>38</v>
      </c>
      <c r="F64" s="13" t="n">
        <v>10934.672</v>
      </c>
      <c r="G64" s="14" t="n">
        <v>2071980000</v>
      </c>
    </row>
    <row r="65" customFormat="false" ht="12" hidden="false" customHeight="false" outlineLevel="0" collapsed="false">
      <c r="C65" s="12"/>
      <c r="D65" s="12"/>
      <c r="E65" s="12"/>
      <c r="F65" s="13"/>
      <c r="G65" s="14"/>
    </row>
    <row r="66" customFormat="false" ht="12" hidden="false" customHeight="false" outlineLevel="0" collapsed="false">
      <c r="B66" s="1" t="s">
        <v>103</v>
      </c>
      <c r="C66" s="12" t="s">
        <v>104</v>
      </c>
      <c r="D66" s="12" t="n">
        <v>111111</v>
      </c>
      <c r="E66" s="12" t="s">
        <v>27</v>
      </c>
      <c r="F66" s="13" t="n">
        <v>20400</v>
      </c>
      <c r="G66" s="14" t="n">
        <v>2079022000</v>
      </c>
    </row>
    <row r="67" customFormat="false" ht="12" hidden="false" customHeight="false" outlineLevel="0" collapsed="false">
      <c r="C67" s="12"/>
      <c r="D67" s="12"/>
      <c r="E67" s="12"/>
      <c r="F67" s="13"/>
      <c r="G67" s="14"/>
    </row>
    <row r="68" customFormat="false" ht="12" hidden="false" customHeight="false" outlineLevel="0" collapsed="false">
      <c r="B68" s="1" t="s">
        <v>105</v>
      </c>
      <c r="C68" s="12" t="s">
        <v>106</v>
      </c>
      <c r="D68" s="12" t="n">
        <v>105</v>
      </c>
      <c r="E68" s="12" t="s">
        <v>107</v>
      </c>
      <c r="F68" s="13" t="n">
        <v>0</v>
      </c>
      <c r="G68" s="14" t="n">
        <v>2079070000</v>
      </c>
    </row>
    <row r="69" customFormat="false" ht="12" hidden="false" customHeight="false" outlineLevel="0" collapsed="false">
      <c r="B69" s="1" t="s">
        <v>108</v>
      </c>
      <c r="C69" s="12" t="s">
        <v>106</v>
      </c>
      <c r="D69" s="12" t="n">
        <v>111111</v>
      </c>
      <c r="E69" s="12" t="s">
        <v>27</v>
      </c>
      <c r="F69" s="13" t="n">
        <v>563918.152</v>
      </c>
      <c r="G69" s="14" t="n">
        <v>2079070000</v>
      </c>
    </row>
    <row r="70" customFormat="false" ht="12" hidden="false" customHeight="false" outlineLevel="0" collapsed="false">
      <c r="C70" s="12"/>
      <c r="D70" s="12"/>
      <c r="E70" s="12"/>
      <c r="F70" s="13"/>
      <c r="G70" s="14"/>
    </row>
    <row r="71" customFormat="false" ht="12" hidden="false" customHeight="false" outlineLevel="0" collapsed="false">
      <c r="B71" s="1" t="s">
        <v>109</v>
      </c>
      <c r="C71" s="12" t="s">
        <v>110</v>
      </c>
      <c r="D71" s="12" t="n">
        <v>1009</v>
      </c>
      <c r="E71" s="12" t="s">
        <v>32</v>
      </c>
      <c r="F71" s="13" t="n">
        <v>0</v>
      </c>
      <c r="G71" s="14" t="n">
        <v>2079080000</v>
      </c>
    </row>
    <row r="72" customFormat="false" ht="12" hidden="false" customHeight="false" outlineLevel="0" collapsed="false">
      <c r="B72" s="1" t="s">
        <v>111</v>
      </c>
      <c r="C72" s="12" t="s">
        <v>110</v>
      </c>
      <c r="D72" s="12" t="n">
        <v>1007</v>
      </c>
      <c r="E72" s="12" t="s">
        <v>34</v>
      </c>
      <c r="F72" s="13" t="n">
        <v>0</v>
      </c>
      <c r="G72" s="14" t="n">
        <v>2079080000</v>
      </c>
    </row>
    <row r="73" customFormat="false" ht="12" hidden="false" customHeight="false" outlineLevel="0" collapsed="false">
      <c r="B73" s="1" t="s">
        <v>112</v>
      </c>
      <c r="C73" s="12" t="s">
        <v>110</v>
      </c>
      <c r="D73" s="12" t="n">
        <v>1008</v>
      </c>
      <c r="E73" s="12" t="s">
        <v>36</v>
      </c>
      <c r="F73" s="13" t="n">
        <v>0</v>
      </c>
      <c r="G73" s="14" t="n">
        <v>2079080000</v>
      </c>
    </row>
    <row r="74" customFormat="false" ht="12" hidden="false" customHeight="false" outlineLevel="0" collapsed="false">
      <c r="C74" s="12"/>
      <c r="D74" s="12"/>
      <c r="E74" s="12"/>
      <c r="F74" s="13"/>
      <c r="G74" s="14"/>
    </row>
    <row r="75" customFormat="false" ht="12" hidden="false" customHeight="false" outlineLevel="0" collapsed="false">
      <c r="B75" s="1" t="s">
        <v>113</v>
      </c>
      <c r="C75" s="12" t="s">
        <v>114</v>
      </c>
      <c r="D75" s="12" t="n">
        <v>1009</v>
      </c>
      <c r="E75" s="12" t="s">
        <v>32</v>
      </c>
      <c r="F75" s="13" t="n">
        <v>0</v>
      </c>
      <c r="G75" s="14" t="n">
        <v>2082280000</v>
      </c>
    </row>
    <row r="76" customFormat="false" ht="12" hidden="false" customHeight="false" outlineLevel="0" collapsed="false">
      <c r="B76" s="1" t="s">
        <v>115</v>
      </c>
      <c r="C76" s="12" t="s">
        <v>114</v>
      </c>
      <c r="D76" s="12" t="n">
        <v>1007</v>
      </c>
      <c r="E76" s="12" t="s">
        <v>34</v>
      </c>
      <c r="F76" s="13" t="n">
        <v>0</v>
      </c>
      <c r="G76" s="14" t="n">
        <v>2082280000</v>
      </c>
    </row>
    <row r="77" customFormat="false" ht="12" hidden="false" customHeight="false" outlineLevel="0" collapsed="false">
      <c r="B77" s="1" t="s">
        <v>116</v>
      </c>
      <c r="C77" s="12" t="s">
        <v>114</v>
      </c>
      <c r="D77" s="12" t="n">
        <v>1008</v>
      </c>
      <c r="E77" s="12" t="s">
        <v>36</v>
      </c>
      <c r="F77" s="13" t="n">
        <v>0</v>
      </c>
      <c r="G77" s="14" t="n">
        <v>2082280000</v>
      </c>
    </row>
    <row r="78" customFormat="false" ht="12" hidden="false" customHeight="false" outlineLevel="0" collapsed="false">
      <c r="B78" s="1" t="s">
        <v>117</v>
      </c>
      <c r="C78" s="12" t="s">
        <v>114</v>
      </c>
      <c r="D78" s="12" t="n">
        <v>1240</v>
      </c>
      <c r="E78" s="12" t="s">
        <v>72</v>
      </c>
      <c r="F78" s="13" t="n">
        <v>-35810.228</v>
      </c>
      <c r="G78" s="14" t="n">
        <v>2082280000</v>
      </c>
    </row>
    <row r="79" customFormat="false" ht="12" hidden="false" customHeight="false" outlineLevel="0" collapsed="false">
      <c r="B79" s="1" t="s">
        <v>118</v>
      </c>
      <c r="C79" s="12" t="s">
        <v>114</v>
      </c>
      <c r="D79" s="12" t="n">
        <v>111111</v>
      </c>
      <c r="E79" s="12" t="s">
        <v>27</v>
      </c>
      <c r="F79" s="13" t="n">
        <v>-51927.418</v>
      </c>
      <c r="G79" s="14" t="n">
        <v>2082280000</v>
      </c>
    </row>
    <row r="80" customFormat="false" ht="12" hidden="false" customHeight="false" outlineLevel="0" collapsed="false">
      <c r="C80" s="12"/>
      <c r="D80" s="12"/>
      <c r="E80" s="12"/>
      <c r="F80" s="13"/>
      <c r="G80" s="14"/>
    </row>
    <row r="81" customFormat="false" ht="12" hidden="false" customHeight="false" outlineLevel="0" collapsed="false">
      <c r="B81" s="1" t="s">
        <v>119</v>
      </c>
      <c r="C81" s="12" t="s">
        <v>120</v>
      </c>
      <c r="D81" s="12" t="n">
        <v>111101</v>
      </c>
      <c r="E81" s="12" t="s">
        <v>38</v>
      </c>
      <c r="F81" s="13" t="n">
        <v>-862270.634</v>
      </c>
      <c r="G81" s="14" t="n">
        <v>2082202000</v>
      </c>
    </row>
    <row r="82" customFormat="false" ht="12" hidden="false" customHeight="false" outlineLevel="0" collapsed="false">
      <c r="C82" s="12"/>
      <c r="D82" s="12"/>
      <c r="E82" s="12"/>
      <c r="F82" s="13"/>
      <c r="G82" s="14"/>
    </row>
    <row r="83" customFormat="false" ht="12" hidden="false" customHeight="false" outlineLevel="0" collapsed="false">
      <c r="B83" s="1" t="s">
        <v>121</v>
      </c>
      <c r="C83" s="12" t="s">
        <v>122</v>
      </c>
      <c r="D83" s="12" t="n">
        <v>111101</v>
      </c>
      <c r="E83" s="12" t="s">
        <v>38</v>
      </c>
      <c r="F83" s="13" t="n">
        <v>22763</v>
      </c>
      <c r="G83" s="14" t="n">
        <v>2082208200</v>
      </c>
    </row>
    <row r="84" customFormat="false" ht="12" hidden="false" customHeight="false" outlineLevel="0" collapsed="false">
      <c r="C84" s="12"/>
      <c r="D84" s="12"/>
      <c r="E84" s="12"/>
      <c r="F84" s="13"/>
      <c r="G84" s="14"/>
    </row>
    <row r="85" customFormat="false" ht="12" hidden="false" customHeight="false" outlineLevel="0" collapsed="false">
      <c r="B85" s="1" t="s">
        <v>123</v>
      </c>
      <c r="C85" s="12" t="s">
        <v>124</v>
      </c>
      <c r="D85" s="12" t="n">
        <v>88</v>
      </c>
      <c r="E85" s="12" t="s">
        <v>45</v>
      </c>
      <c r="F85" s="13" t="n">
        <v>2930430.012</v>
      </c>
      <c r="G85" s="14" t="n">
        <v>2082214000</v>
      </c>
    </row>
    <row r="86" customFormat="false" ht="12" hidden="false" customHeight="false" outlineLevel="0" collapsed="false">
      <c r="C86" s="12"/>
      <c r="D86" s="12"/>
      <c r="E86" s="12"/>
      <c r="F86" s="13"/>
      <c r="G86" s="14"/>
    </row>
    <row r="87" customFormat="false" ht="12" hidden="false" customHeight="false" outlineLevel="0" collapsed="false">
      <c r="B87" s="1" t="s">
        <v>125</v>
      </c>
      <c r="C87" s="12" t="s">
        <v>126</v>
      </c>
      <c r="D87" s="12" t="n">
        <v>111101</v>
      </c>
      <c r="E87" s="12" t="s">
        <v>38</v>
      </c>
      <c r="F87" s="13" t="n">
        <v>-49378.642</v>
      </c>
      <c r="G87" s="14" t="n">
        <v>2091200000</v>
      </c>
    </row>
    <row r="88" customFormat="false" ht="12" hidden="false" customHeight="false" outlineLevel="0" collapsed="false">
      <c r="C88" s="12"/>
      <c r="D88" s="12"/>
      <c r="E88" s="12"/>
      <c r="F88" s="13"/>
      <c r="G88" s="14"/>
    </row>
    <row r="89" customFormat="false" ht="12" hidden="false" customHeight="false" outlineLevel="0" collapsed="false">
      <c r="B89" s="1" t="s">
        <v>127</v>
      </c>
      <c r="C89" s="12" t="s">
        <v>128</v>
      </c>
      <c r="D89" s="12" t="n">
        <v>111101</v>
      </c>
      <c r="E89" s="12" t="s">
        <v>38</v>
      </c>
      <c r="F89" s="13" t="n">
        <v>516250.67</v>
      </c>
      <c r="G89" s="14" t="n">
        <v>2091200001</v>
      </c>
    </row>
    <row r="90" customFormat="false" ht="12" hidden="false" customHeight="false" outlineLevel="0" collapsed="false">
      <c r="C90" s="12"/>
      <c r="D90" s="12"/>
      <c r="E90" s="12"/>
      <c r="F90" s="13"/>
      <c r="G90" s="14"/>
    </row>
    <row r="91" customFormat="false" ht="12" hidden="false" customHeight="false" outlineLevel="0" collapsed="false">
      <c r="B91" s="1" t="s">
        <v>129</v>
      </c>
      <c r="C91" s="12" t="s">
        <v>130</v>
      </c>
      <c r="D91" s="12" t="n">
        <v>111101</v>
      </c>
      <c r="E91" s="12" t="s">
        <v>38</v>
      </c>
      <c r="F91" s="13" t="n">
        <v>21593.094</v>
      </c>
      <c r="G91" s="14" t="n">
        <v>2092200000</v>
      </c>
    </row>
    <row r="92" customFormat="false" ht="12" hidden="false" customHeight="false" outlineLevel="0" collapsed="false">
      <c r="C92" s="12"/>
      <c r="D92" s="12"/>
      <c r="E92" s="12"/>
      <c r="F92" s="13"/>
      <c r="G92" s="14"/>
    </row>
    <row r="93" customFormat="false" ht="12" hidden="false" customHeight="false" outlineLevel="0" collapsed="false">
      <c r="B93" s="1" t="s">
        <v>131</v>
      </c>
      <c r="C93" s="15" t="s">
        <v>132</v>
      </c>
      <c r="D93" s="15" t="n">
        <v>111101</v>
      </c>
      <c r="E93" s="15" t="s">
        <v>38</v>
      </c>
      <c r="F93" s="16" t="n">
        <v>-2904117.994</v>
      </c>
      <c r="G93" s="17" t="n">
        <v>2999999999</v>
      </c>
    </row>
    <row r="94" customFormat="false" ht="12" hidden="false" customHeight="false" outlineLevel="0" collapsed="false">
      <c r="D94" s="12"/>
      <c r="G94" s="18"/>
    </row>
    <row r="95" customFormat="false" ht="12" hidden="false" customHeight="false" outlineLevel="0" collapsed="false">
      <c r="D95" s="12"/>
      <c r="G95" s="18"/>
    </row>
    <row r="96" customFormat="false" ht="12" hidden="false" customHeight="false" outlineLevel="0" collapsed="false">
      <c r="D96" s="12"/>
      <c r="G96" s="18"/>
    </row>
    <row r="97" customFormat="false" ht="12" hidden="false" customHeight="false" outlineLevel="0" collapsed="false">
      <c r="D97" s="12"/>
      <c r="G97" s="18"/>
    </row>
    <row r="98" customFormat="false" ht="12" hidden="false" customHeight="false" outlineLevel="0" collapsed="false">
      <c r="D98" s="12"/>
      <c r="G98" s="18"/>
    </row>
    <row r="99" customFormat="false" ht="12" hidden="false" customHeight="false" outlineLevel="0" collapsed="false">
      <c r="D99" s="12"/>
      <c r="G99" s="18"/>
    </row>
    <row r="100" customFormat="false" ht="12" hidden="false" customHeight="false" outlineLevel="0" collapsed="false">
      <c r="D100" s="12"/>
      <c r="G100" s="18"/>
    </row>
    <row r="101" customFormat="false" ht="12" hidden="false" customHeight="false" outlineLevel="0" collapsed="false">
      <c r="D101" s="12"/>
      <c r="G101" s="18"/>
    </row>
    <row r="102" customFormat="false" ht="12" hidden="false" customHeight="false" outlineLevel="0" collapsed="false">
      <c r="D102" s="12"/>
      <c r="G102" s="18"/>
    </row>
    <row r="103" customFormat="false" ht="12" hidden="false" customHeight="false" outlineLevel="0" collapsed="false">
      <c r="D103" s="12"/>
      <c r="G103" s="18"/>
    </row>
    <row r="104" customFormat="false" ht="12" hidden="false" customHeight="false" outlineLevel="0" collapsed="false">
      <c r="D104" s="12"/>
      <c r="G104" s="18"/>
    </row>
    <row r="105" customFormat="false" ht="12" hidden="false" customHeight="false" outlineLevel="0" collapsed="false">
      <c r="D105" s="12"/>
      <c r="G105" s="18"/>
    </row>
    <row r="106" customFormat="false" ht="12" hidden="false" customHeight="false" outlineLevel="0" collapsed="false">
      <c r="D106" s="12"/>
      <c r="G106" s="18"/>
    </row>
    <row r="107" customFormat="false" ht="12" hidden="false" customHeight="false" outlineLevel="0" collapsed="false">
      <c r="D107" s="12"/>
      <c r="G107" s="18"/>
    </row>
    <row r="108" customFormat="false" ht="12" hidden="false" customHeight="false" outlineLevel="0" collapsed="false">
      <c r="D108" s="12"/>
      <c r="G108" s="18"/>
    </row>
    <row r="109" customFormat="false" ht="12" hidden="false" customHeight="false" outlineLevel="0" collapsed="false">
      <c r="D109" s="12"/>
      <c r="G109" s="18"/>
    </row>
    <row r="110" customFormat="false" ht="12" hidden="false" customHeight="false" outlineLevel="0" collapsed="false">
      <c r="D110" s="12"/>
      <c r="G110" s="18"/>
    </row>
    <row r="111" customFormat="false" ht="12" hidden="false" customHeight="false" outlineLevel="0" collapsed="false">
      <c r="D111" s="12"/>
      <c r="G111" s="18"/>
    </row>
    <row r="112" customFormat="false" ht="12" hidden="false" customHeight="false" outlineLevel="0" collapsed="false">
      <c r="D112" s="12"/>
      <c r="G112" s="18"/>
    </row>
    <row r="113" customFormat="false" ht="12" hidden="false" customHeight="false" outlineLevel="0" collapsed="false">
      <c r="D113" s="12"/>
      <c r="G113" s="18"/>
    </row>
    <row r="114" customFormat="false" ht="12" hidden="false" customHeight="false" outlineLevel="0" collapsed="false">
      <c r="D114" s="12"/>
      <c r="G114" s="18"/>
    </row>
    <row r="115" customFormat="false" ht="12" hidden="false" customHeight="false" outlineLevel="0" collapsed="false">
      <c r="D115" s="12"/>
      <c r="G115" s="18"/>
    </row>
    <row r="116" customFormat="false" ht="12" hidden="false" customHeight="false" outlineLevel="0" collapsed="false">
      <c r="D116" s="12"/>
      <c r="G116" s="18"/>
    </row>
    <row r="117" customFormat="false" ht="12" hidden="false" customHeight="false" outlineLevel="0" collapsed="false">
      <c r="D117" s="12"/>
      <c r="G117" s="18"/>
    </row>
    <row r="118" customFormat="false" ht="12" hidden="false" customHeight="false" outlineLevel="0" collapsed="false">
      <c r="D118" s="12"/>
      <c r="G118" s="18"/>
    </row>
    <row r="119" customFormat="false" ht="12" hidden="false" customHeight="false" outlineLevel="0" collapsed="false">
      <c r="D119" s="12"/>
      <c r="G119" s="18"/>
    </row>
    <row r="120" customFormat="false" ht="12" hidden="false" customHeight="false" outlineLevel="0" collapsed="false">
      <c r="D120" s="12"/>
      <c r="G120" s="18"/>
    </row>
    <row r="121" customFormat="false" ht="12" hidden="false" customHeight="false" outlineLevel="0" collapsed="false">
      <c r="D121" s="12"/>
      <c r="G121" s="18"/>
    </row>
    <row r="122" customFormat="false" ht="12" hidden="false" customHeight="false" outlineLevel="0" collapsed="false">
      <c r="D122" s="12"/>
      <c r="G122" s="18"/>
    </row>
    <row r="123" customFormat="false" ht="12" hidden="false" customHeight="false" outlineLevel="0" collapsed="false">
      <c r="D123" s="12"/>
      <c r="G123" s="18"/>
    </row>
    <row r="124" customFormat="false" ht="12" hidden="false" customHeight="false" outlineLevel="0" collapsed="false">
      <c r="D124" s="12"/>
      <c r="G124" s="18"/>
    </row>
    <row r="125" customFormat="false" ht="12" hidden="false" customHeight="false" outlineLevel="0" collapsed="false">
      <c r="D125" s="12"/>
      <c r="G125" s="18"/>
    </row>
    <row r="126" customFormat="false" ht="12" hidden="false" customHeight="false" outlineLevel="0" collapsed="false">
      <c r="D126" s="12"/>
      <c r="G126" s="18"/>
    </row>
    <row r="127" customFormat="false" ht="12" hidden="false" customHeight="false" outlineLevel="0" collapsed="false">
      <c r="D127" s="12"/>
      <c r="G127" s="18"/>
    </row>
    <row r="128" customFormat="false" ht="12" hidden="false" customHeight="false" outlineLevel="0" collapsed="false">
      <c r="D128" s="12"/>
      <c r="G128" s="18"/>
    </row>
  </sheetData>
  <autoFilter ref="C4:G93"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F17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RowHeight="11.45" zeroHeight="false" outlineLevelRow="0" outlineLevelCol="0"/>
  <cols>
    <col collapsed="false" customWidth="true" hidden="false" outlineLevel="0" max="1" min="1" style="1" width="2"/>
    <col collapsed="false" customWidth="true" hidden="false" outlineLevel="0" max="2" min="2" style="1" width="34.86"/>
    <col collapsed="false" customWidth="true" hidden="false" outlineLevel="0" max="3" min="3" style="1" width="21.15"/>
    <col collapsed="false" customWidth="true" hidden="false" outlineLevel="0" max="4" min="4" style="1" width="37.57"/>
    <col collapsed="false" customWidth="true" hidden="false" outlineLevel="0" max="5" min="5" style="1" width="11.57"/>
    <col collapsed="false" customWidth="true" hidden="false" outlineLevel="0" max="6" min="6" style="1" width="11"/>
    <col collapsed="false" customWidth="true" hidden="false" outlineLevel="0" max="1025" min="7" style="1" width="9.14"/>
  </cols>
  <sheetData>
    <row r="1" customFormat="false" ht="15.6" hidden="false" customHeight="false" outlineLevel="0" collapsed="false">
      <c r="B1" s="2" t="s">
        <v>133</v>
      </c>
    </row>
    <row r="4" customFormat="false" ht="11.45" hidden="false" customHeight="false" outlineLevel="0" collapsed="false">
      <c r="C4" s="1" t="s">
        <v>134</v>
      </c>
    </row>
    <row r="5" customFormat="false" ht="11.45" hidden="false" customHeight="false" outlineLevel="0" collapsed="false">
      <c r="B5" s="12" t="s">
        <v>26</v>
      </c>
      <c r="C5" s="12" t="n">
        <v>105</v>
      </c>
      <c r="D5" s="12" t="s">
        <v>107</v>
      </c>
      <c r="E5" s="13" t="n">
        <v>-355396.615</v>
      </c>
      <c r="F5" s="12" t="n">
        <v>2001110000</v>
      </c>
    </row>
    <row r="6" customFormat="false" ht="11.45" hidden="false" customHeight="false" outlineLevel="0" collapsed="false">
      <c r="B6" s="12" t="s">
        <v>26</v>
      </c>
      <c r="C6" s="12" t="n">
        <v>111111</v>
      </c>
      <c r="D6" s="12" t="s">
        <v>27</v>
      </c>
      <c r="E6" s="13" t="n">
        <v>-15792898.75</v>
      </c>
      <c r="F6" s="12" t="n">
        <v>2001110000</v>
      </c>
    </row>
    <row r="7" customFormat="false" ht="11.45" hidden="false" customHeight="false" outlineLevel="0" collapsed="false">
      <c r="B7" s="12" t="str">
        <f aca="false">B6</f>
        <v>Core business revenues</v>
      </c>
      <c r="C7" s="12" t="s">
        <v>135</v>
      </c>
      <c r="D7" s="12" t="s">
        <v>135</v>
      </c>
      <c r="E7" s="13" t="n">
        <f aca="false">E6+E5</f>
        <v>-16148295.365</v>
      </c>
      <c r="F7" s="12" t="n">
        <f aca="false">F6</f>
        <v>2001110000</v>
      </c>
    </row>
    <row r="8" customFormat="false" ht="11.45" hidden="false" customHeight="false" outlineLevel="0" collapsed="false">
      <c r="B8" s="12" t="s">
        <v>29</v>
      </c>
      <c r="C8" s="12" t="n">
        <v>111111</v>
      </c>
      <c r="D8" s="12" t="s">
        <v>27</v>
      </c>
      <c r="E8" s="13" t="n">
        <v>-6960217.645</v>
      </c>
      <c r="F8" s="12" t="n">
        <v>2001190000</v>
      </c>
    </row>
    <row r="9" customFormat="false" ht="11.45" hidden="false" customHeight="false" outlineLevel="0" collapsed="false">
      <c r="B9" s="12" t="str">
        <f aca="false">B8</f>
        <v>Other revenues</v>
      </c>
      <c r="C9" s="12" t="s">
        <v>135</v>
      </c>
      <c r="D9" s="12" t="s">
        <v>135</v>
      </c>
      <c r="E9" s="13" t="n">
        <f aca="false">+E8</f>
        <v>-6960217.645</v>
      </c>
      <c r="F9" s="12" t="n">
        <f aca="false">F8</f>
        <v>2001190000</v>
      </c>
    </row>
    <row r="10" customFormat="false" ht="11.45" hidden="false" customHeight="false" outlineLevel="0" collapsed="false">
      <c r="B10" s="12" t="s">
        <v>31</v>
      </c>
      <c r="C10" s="12" t="s">
        <v>136</v>
      </c>
      <c r="D10" s="12" t="s">
        <v>137</v>
      </c>
      <c r="E10" s="13" t="n">
        <v>-420017.15</v>
      </c>
      <c r="F10" s="12" t="n">
        <v>2020000000</v>
      </c>
    </row>
    <row r="11" customFormat="false" ht="11.45" hidden="false" customHeight="false" outlineLevel="0" collapsed="false">
      <c r="B11" s="12" t="s">
        <v>31</v>
      </c>
      <c r="C11" s="12" t="n">
        <v>1007</v>
      </c>
      <c r="D11" s="12" t="s">
        <v>34</v>
      </c>
      <c r="E11" s="13" t="n">
        <v>-89234.88</v>
      </c>
      <c r="F11" s="12" t="n">
        <v>2020000000</v>
      </c>
    </row>
    <row r="12" customFormat="false" ht="11.45" hidden="false" customHeight="false" outlineLevel="0" collapsed="false">
      <c r="B12" s="12" t="s">
        <v>31</v>
      </c>
      <c r="C12" s="12" t="n">
        <v>1008</v>
      </c>
      <c r="D12" s="12" t="s">
        <v>36</v>
      </c>
      <c r="E12" s="13" t="n">
        <v>-26173</v>
      </c>
      <c r="F12" s="12" t="n">
        <v>2020000000</v>
      </c>
    </row>
    <row r="13" customFormat="false" ht="11.45" hidden="false" customHeight="false" outlineLevel="0" collapsed="false">
      <c r="B13" s="12" t="s">
        <v>31</v>
      </c>
      <c r="C13" s="12" t="n">
        <v>111101</v>
      </c>
      <c r="D13" s="12" t="s">
        <v>38</v>
      </c>
      <c r="E13" s="13" t="n">
        <v>-209401.92</v>
      </c>
      <c r="F13" s="12" t="n">
        <v>2020000000</v>
      </c>
    </row>
    <row r="14" customFormat="false" ht="11.45" hidden="false" customHeight="false" outlineLevel="0" collapsed="false">
      <c r="B14" s="12" t="str">
        <f aca="false">B13</f>
        <v>Capitalized costs</v>
      </c>
      <c r="C14" s="12" t="s">
        <v>135</v>
      </c>
      <c r="D14" s="12" t="s">
        <v>135</v>
      </c>
      <c r="E14" s="13" t="n">
        <f aca="false">SUM(E10:E13)</f>
        <v>-744826.95</v>
      </c>
      <c r="F14" s="12" t="n">
        <f aca="false">F13</f>
        <v>2020000000</v>
      </c>
    </row>
    <row r="15" customFormat="false" ht="11.45" hidden="false" customHeight="false" outlineLevel="0" collapsed="false">
      <c r="B15" s="12" t="s">
        <v>138</v>
      </c>
      <c r="C15" s="12" t="n">
        <v>111111</v>
      </c>
      <c r="D15" s="12" t="s">
        <v>27</v>
      </c>
      <c r="E15" s="13" t="n">
        <v>14589.33</v>
      </c>
      <c r="F15" s="12" t="n">
        <v>2021210000</v>
      </c>
    </row>
    <row r="16" customFormat="false" ht="11.45" hidden="false" customHeight="false" outlineLevel="0" collapsed="false">
      <c r="B16" s="12" t="str">
        <f aca="false">B15</f>
        <v>Utility charges</v>
      </c>
      <c r="C16" s="12" t="s">
        <v>135</v>
      </c>
      <c r="D16" s="12" t="s">
        <v>135</v>
      </c>
      <c r="E16" s="13" t="n">
        <f aca="false">E15</f>
        <v>14589.33</v>
      </c>
      <c r="F16" s="12" t="n">
        <f aca="false">F15</f>
        <v>2021210000</v>
      </c>
    </row>
    <row r="17" customFormat="false" ht="11.45" hidden="false" customHeight="false" outlineLevel="0" collapsed="false">
      <c r="B17" s="12" t="s">
        <v>40</v>
      </c>
      <c r="C17" s="12" t="n">
        <v>111111</v>
      </c>
      <c r="D17" s="12" t="s">
        <v>27</v>
      </c>
      <c r="E17" s="13" t="n">
        <v>5463188.825</v>
      </c>
      <c r="F17" s="12" t="n">
        <v>2021900000</v>
      </c>
    </row>
    <row r="18" customFormat="false" ht="11.45" hidden="false" customHeight="false" outlineLevel="0" collapsed="false">
      <c r="B18" s="12" t="str">
        <f aca="false">B17</f>
        <v>Direct costs</v>
      </c>
      <c r="C18" s="12" t="s">
        <v>135</v>
      </c>
      <c r="D18" s="12" t="s">
        <v>135</v>
      </c>
      <c r="E18" s="13" t="n">
        <f aca="false">E17</f>
        <v>5463188.825</v>
      </c>
      <c r="F18" s="12" t="n">
        <f aca="false">F17</f>
        <v>2021900000</v>
      </c>
    </row>
    <row r="19" customFormat="false" ht="11.45" hidden="false" customHeight="false" outlineLevel="0" collapsed="false">
      <c r="B19" s="12" t="s">
        <v>42</v>
      </c>
      <c r="C19" s="12" t="n">
        <v>111111</v>
      </c>
      <c r="D19" s="12" t="s">
        <v>27</v>
      </c>
      <c r="E19" s="13" t="n">
        <v>343675</v>
      </c>
      <c r="F19" s="12" t="n">
        <v>2024080000</v>
      </c>
    </row>
    <row r="20" customFormat="false" ht="11.45" hidden="false" customHeight="false" outlineLevel="0" collapsed="false">
      <c r="B20" s="12" t="str">
        <f aca="false">B19</f>
        <v>Freight outbound expenses</v>
      </c>
      <c r="C20" s="12" t="s">
        <v>135</v>
      </c>
      <c r="D20" s="12" t="s">
        <v>135</v>
      </c>
      <c r="E20" s="13" t="n">
        <f aca="false">E19</f>
        <v>343675</v>
      </c>
      <c r="F20" s="12" t="n">
        <f aca="false">F19</f>
        <v>2024080000</v>
      </c>
    </row>
    <row r="21" customFormat="false" ht="11.45" hidden="false" customHeight="false" outlineLevel="0" collapsed="false">
      <c r="B21" s="12" t="s">
        <v>44</v>
      </c>
      <c r="C21" s="12" t="n">
        <v>19</v>
      </c>
      <c r="D21" s="12" t="s">
        <v>62</v>
      </c>
      <c r="E21" s="13" t="n">
        <v>38521</v>
      </c>
      <c r="F21" s="12" t="n">
        <v>2024090000</v>
      </c>
    </row>
    <row r="22" customFormat="false" ht="11.45" hidden="false" customHeight="false" outlineLevel="0" collapsed="false">
      <c r="B22" s="12" t="s">
        <v>44</v>
      </c>
      <c r="C22" s="12" t="n">
        <v>88</v>
      </c>
      <c r="D22" s="12" t="s">
        <v>45</v>
      </c>
      <c r="E22" s="13" t="n">
        <v>1980162.23</v>
      </c>
      <c r="F22" s="12" t="n">
        <v>2024090000</v>
      </c>
    </row>
    <row r="23" customFormat="false" ht="11.45" hidden="false" customHeight="false" outlineLevel="0" collapsed="false">
      <c r="B23" s="12" t="s">
        <v>44</v>
      </c>
      <c r="C23" s="12" t="s">
        <v>139</v>
      </c>
      <c r="D23" s="12" t="s">
        <v>140</v>
      </c>
      <c r="E23" s="13" t="n">
        <v>1820</v>
      </c>
      <c r="F23" s="12" t="n">
        <v>2024090000</v>
      </c>
    </row>
    <row r="24" customFormat="false" ht="11.45" hidden="false" customHeight="false" outlineLevel="0" collapsed="false">
      <c r="B24" s="12" t="s">
        <v>44</v>
      </c>
      <c r="C24" s="12" t="s">
        <v>141</v>
      </c>
      <c r="D24" s="12" t="s">
        <v>142</v>
      </c>
      <c r="E24" s="13" t="n">
        <v>10448.13</v>
      </c>
      <c r="F24" s="12" t="n">
        <v>2024090000</v>
      </c>
    </row>
    <row r="25" customFormat="false" ht="11.45" hidden="false" customHeight="false" outlineLevel="0" collapsed="false">
      <c r="B25" s="12" t="s">
        <v>44</v>
      </c>
      <c r="C25" s="12" t="s">
        <v>143</v>
      </c>
      <c r="D25" s="12" t="s">
        <v>144</v>
      </c>
      <c r="E25" s="13" t="n">
        <v>10412.5</v>
      </c>
      <c r="F25" s="12" t="n">
        <v>2024090000</v>
      </c>
    </row>
    <row r="26" customFormat="false" ht="11.45" hidden="false" customHeight="false" outlineLevel="0" collapsed="false">
      <c r="B26" s="12" t="s">
        <v>44</v>
      </c>
      <c r="C26" s="12" t="n">
        <v>111111</v>
      </c>
      <c r="D26" s="12" t="s">
        <v>27</v>
      </c>
      <c r="E26" s="13" t="n">
        <v>27148.625</v>
      </c>
      <c r="F26" s="12" t="n">
        <v>2024090000</v>
      </c>
    </row>
    <row r="27" customFormat="false" ht="11.45" hidden="false" customHeight="false" outlineLevel="0" collapsed="false">
      <c r="B27" s="12" t="str">
        <f aca="false">B26</f>
        <v>R&amp;D expenses</v>
      </c>
      <c r="C27" s="12" t="s">
        <v>135</v>
      </c>
      <c r="D27" s="12" t="s">
        <v>135</v>
      </c>
      <c r="E27" s="13" t="n">
        <f aca="false">SUM(E21:E26)</f>
        <v>2068512.485</v>
      </c>
      <c r="F27" s="12" t="n">
        <f aca="false">F26</f>
        <v>2024090000</v>
      </c>
    </row>
    <row r="28" customFormat="false" ht="11.45" hidden="false" customHeight="false" outlineLevel="0" collapsed="false">
      <c r="B28" s="12" t="s">
        <v>48</v>
      </c>
      <c r="C28" s="12" t="n">
        <v>111111</v>
      </c>
      <c r="D28" s="12" t="s">
        <v>27</v>
      </c>
      <c r="E28" s="13" t="n">
        <v>5507141.055</v>
      </c>
      <c r="F28" s="12" t="n">
        <v>2041000000</v>
      </c>
    </row>
    <row r="29" customFormat="false" ht="11.45" hidden="false" customHeight="false" outlineLevel="0" collapsed="false">
      <c r="B29" s="12" t="str">
        <f aca="false">B28</f>
        <v>Wages and salaries</v>
      </c>
      <c r="C29" s="12" t="s">
        <v>135</v>
      </c>
      <c r="D29" s="12" t="s">
        <v>135</v>
      </c>
      <c r="E29" s="13" t="n">
        <f aca="false">E28</f>
        <v>5507141.055</v>
      </c>
      <c r="F29" s="12" t="n">
        <f aca="false">F28</f>
        <v>2041000000</v>
      </c>
    </row>
    <row r="30" customFormat="false" ht="11.45" hidden="false" customHeight="false" outlineLevel="0" collapsed="false">
      <c r="B30" s="12" t="s">
        <v>145</v>
      </c>
      <c r="C30" s="12" t="n">
        <v>111101</v>
      </c>
      <c r="D30" s="12" t="s">
        <v>38</v>
      </c>
      <c r="E30" s="13" t="n">
        <v>1752994.18</v>
      </c>
      <c r="F30" s="12" t="n">
        <v>2042000000</v>
      </c>
    </row>
    <row r="31" customFormat="false" ht="11.45" hidden="false" customHeight="false" outlineLevel="0" collapsed="false">
      <c r="B31" s="12" t="s">
        <v>50</v>
      </c>
      <c r="C31" s="12" t="n">
        <v>111101</v>
      </c>
      <c r="D31" s="12" t="s">
        <v>38</v>
      </c>
      <c r="E31" s="13" t="n">
        <v>304303.86</v>
      </c>
      <c r="F31" s="12" t="n">
        <v>2042000000</v>
      </c>
    </row>
    <row r="32" customFormat="false" ht="11.45" hidden="false" customHeight="false" outlineLevel="0" collapsed="false">
      <c r="B32" s="12" t="str">
        <f aca="false">B31</f>
        <v>Pension contributions</v>
      </c>
      <c r="C32" s="12" t="s">
        <v>135</v>
      </c>
      <c r="D32" s="12" t="s">
        <v>135</v>
      </c>
      <c r="E32" s="13" t="n">
        <f aca="false">E30+E31</f>
        <v>2057298.04</v>
      </c>
      <c r="F32" s="12" t="n">
        <f aca="false">F31</f>
        <v>2042000000</v>
      </c>
    </row>
    <row r="33" customFormat="false" ht="11.45" hidden="false" customHeight="false" outlineLevel="0" collapsed="false">
      <c r="B33" s="12" t="s">
        <v>53</v>
      </c>
      <c r="C33" s="12" t="n">
        <v>111101</v>
      </c>
      <c r="D33" s="12" t="s">
        <v>38</v>
      </c>
      <c r="E33" s="13" t="n">
        <v>500500</v>
      </c>
      <c r="F33" s="12" t="n">
        <v>2045000000</v>
      </c>
    </row>
    <row r="34" customFormat="false" ht="11.45" hidden="false" customHeight="false" outlineLevel="0" collapsed="false">
      <c r="B34" s="12" t="str">
        <f aca="false">B33</f>
        <v>Severance indemnity contribution</v>
      </c>
      <c r="C34" s="12" t="s">
        <v>135</v>
      </c>
      <c r="D34" s="12" t="s">
        <v>135</v>
      </c>
      <c r="E34" s="13" t="n">
        <f aca="false">E33</f>
        <v>500500</v>
      </c>
      <c r="F34" s="12" t="n">
        <f aca="false">F33</f>
        <v>2045000000</v>
      </c>
    </row>
    <row r="35" customFormat="false" ht="11.45" hidden="false" customHeight="false" outlineLevel="0" collapsed="false">
      <c r="B35" s="12" t="s">
        <v>146</v>
      </c>
      <c r="C35" s="12" t="n">
        <v>111101</v>
      </c>
      <c r="D35" s="12" t="s">
        <v>38</v>
      </c>
      <c r="E35" s="13" t="n">
        <v>6919.85</v>
      </c>
      <c r="F35" s="12" t="n">
        <v>2049000000</v>
      </c>
    </row>
    <row r="36" customFormat="false" ht="11.45" hidden="false" customHeight="false" outlineLevel="0" collapsed="false">
      <c r="B36" s="12" t="str">
        <f aca="false">B35</f>
        <v>Other personnel expenses</v>
      </c>
      <c r="C36" s="12" t="s">
        <v>135</v>
      </c>
      <c r="D36" s="12" t="s">
        <v>135</v>
      </c>
      <c r="E36" s="13" t="n">
        <f aca="false">E35</f>
        <v>6919.85</v>
      </c>
      <c r="F36" s="12" t="n">
        <f aca="false">F35</f>
        <v>2049000000</v>
      </c>
    </row>
    <row r="37" customFormat="false" ht="11.45" hidden="false" customHeight="false" outlineLevel="0" collapsed="false">
      <c r="B37" s="12" t="s">
        <v>55</v>
      </c>
      <c r="C37" s="12" t="n">
        <v>111101</v>
      </c>
      <c r="D37" s="12" t="s">
        <v>38</v>
      </c>
      <c r="E37" s="13" t="n">
        <v>1897676.87</v>
      </c>
      <c r="F37" s="12" t="n">
        <v>2051210000</v>
      </c>
    </row>
    <row r="38" customFormat="false" ht="11.45" hidden="false" customHeight="false" outlineLevel="0" collapsed="false">
      <c r="B38" s="12" t="str">
        <f aca="false">B37</f>
        <v>D&amp;A</v>
      </c>
      <c r="C38" s="12" t="s">
        <v>135</v>
      </c>
      <c r="D38" s="12" t="s">
        <v>135</v>
      </c>
      <c r="E38" s="13" t="n">
        <f aca="false">+E37</f>
        <v>1897676.87</v>
      </c>
      <c r="F38" s="12" t="n">
        <f aca="false">F37</f>
        <v>2051210000</v>
      </c>
    </row>
    <row r="39" customFormat="false" ht="11.45" hidden="false" customHeight="false" outlineLevel="0" collapsed="false">
      <c r="B39" s="12" t="s">
        <v>55</v>
      </c>
      <c r="C39" s="12" t="n">
        <v>111101</v>
      </c>
      <c r="D39" s="12" t="s">
        <v>38</v>
      </c>
      <c r="E39" s="13" t="n">
        <v>146328.945</v>
      </c>
      <c r="F39" s="12" t="n">
        <v>2051260000</v>
      </c>
    </row>
    <row r="40" customFormat="false" ht="11.45" hidden="false" customHeight="false" outlineLevel="0" collapsed="false">
      <c r="B40" s="12" t="str">
        <f aca="false">B39</f>
        <v>D&amp;A</v>
      </c>
      <c r="C40" s="12" t="s">
        <v>135</v>
      </c>
      <c r="D40" s="12" t="s">
        <v>135</v>
      </c>
      <c r="E40" s="13" t="n">
        <f aca="false">+E39</f>
        <v>146328.945</v>
      </c>
      <c r="F40" s="12" t="n">
        <f aca="false">F39</f>
        <v>2051260000</v>
      </c>
    </row>
    <row r="41" customFormat="false" ht="11.45" hidden="false" customHeight="false" outlineLevel="0" collapsed="false">
      <c r="B41" s="12" t="s">
        <v>147</v>
      </c>
      <c r="C41" s="12" t="n">
        <v>111111</v>
      </c>
      <c r="D41" s="12" t="s">
        <v>27</v>
      </c>
      <c r="E41" s="13" t="n">
        <v>-121553.075</v>
      </c>
      <c r="F41" s="12" t="n">
        <v>2060220000</v>
      </c>
    </row>
    <row r="42" customFormat="false" ht="11.45" hidden="false" customHeight="false" outlineLevel="0" collapsed="false">
      <c r="B42" s="12" t="str">
        <f aca="false">B41</f>
        <v>Gains from disposal of PP&amp;E</v>
      </c>
      <c r="C42" s="12" t="s">
        <v>135</v>
      </c>
      <c r="D42" s="12" t="s">
        <v>135</v>
      </c>
      <c r="E42" s="13" t="n">
        <f aca="false">+E41</f>
        <v>-121553.075</v>
      </c>
      <c r="F42" s="12" t="n">
        <f aca="false">F41</f>
        <v>2060220000</v>
      </c>
    </row>
    <row r="43" customFormat="false" ht="11.45" hidden="false" customHeight="false" outlineLevel="0" collapsed="false">
      <c r="B43" s="12" t="s">
        <v>58</v>
      </c>
      <c r="C43" s="12" t="s">
        <v>59</v>
      </c>
      <c r="D43" s="12" t="s">
        <v>60</v>
      </c>
      <c r="E43" s="13" t="n">
        <v>-1643711.145</v>
      </c>
      <c r="F43" s="12" t="n">
        <v>2069010000</v>
      </c>
    </row>
    <row r="44" customFormat="false" ht="11.45" hidden="false" customHeight="false" outlineLevel="0" collapsed="false">
      <c r="B44" s="12" t="s">
        <v>58</v>
      </c>
      <c r="C44" s="12" t="n">
        <v>19</v>
      </c>
      <c r="D44" s="12" t="s">
        <v>62</v>
      </c>
      <c r="E44" s="13" t="n">
        <v>-416278.66</v>
      </c>
      <c r="F44" s="12" t="n">
        <v>2069010000</v>
      </c>
    </row>
    <row r="45" customFormat="false" ht="11.45" hidden="false" customHeight="false" outlineLevel="0" collapsed="false">
      <c r="B45" s="12" t="s">
        <v>58</v>
      </c>
      <c r="C45" s="12" t="s">
        <v>148</v>
      </c>
      <c r="D45" s="12" t="s">
        <v>149</v>
      </c>
      <c r="E45" s="13" t="n">
        <v>-364243.845</v>
      </c>
      <c r="F45" s="12" t="n">
        <v>2069010000</v>
      </c>
    </row>
    <row r="46" customFormat="false" ht="11.45" hidden="false" customHeight="false" outlineLevel="0" collapsed="false">
      <c r="B46" s="12" t="s">
        <v>58</v>
      </c>
      <c r="C46" s="12" t="s">
        <v>136</v>
      </c>
      <c r="D46" s="12" t="s">
        <v>137</v>
      </c>
      <c r="E46" s="13" t="n">
        <v>0</v>
      </c>
      <c r="F46" s="12" t="n">
        <v>2069010000</v>
      </c>
    </row>
    <row r="47" customFormat="false" ht="11.45" hidden="false" customHeight="false" outlineLevel="0" collapsed="false">
      <c r="B47" s="12" t="s">
        <v>58</v>
      </c>
      <c r="C47" s="12" t="n">
        <v>1009</v>
      </c>
      <c r="D47" s="12" t="s">
        <v>32</v>
      </c>
      <c r="E47" s="13" t="n">
        <v>0</v>
      </c>
      <c r="F47" s="12" t="n">
        <v>2069010000</v>
      </c>
    </row>
    <row r="48" customFormat="false" ht="11.45" hidden="false" customHeight="false" outlineLevel="0" collapsed="false">
      <c r="B48" s="12" t="s">
        <v>58</v>
      </c>
      <c r="C48" s="12" t="n">
        <v>1007</v>
      </c>
      <c r="D48" s="12" t="s">
        <v>34</v>
      </c>
      <c r="E48" s="13" t="n">
        <v>0</v>
      </c>
      <c r="F48" s="12" t="n">
        <v>2069010000</v>
      </c>
    </row>
    <row r="49" customFormat="false" ht="11.45" hidden="false" customHeight="false" outlineLevel="0" collapsed="false">
      <c r="B49" s="12" t="s">
        <v>58</v>
      </c>
      <c r="C49" s="12" t="n">
        <v>1008</v>
      </c>
      <c r="D49" s="12" t="s">
        <v>36</v>
      </c>
      <c r="E49" s="13" t="n">
        <v>0</v>
      </c>
      <c r="F49" s="12" t="n">
        <v>2069010000</v>
      </c>
    </row>
    <row r="50" customFormat="false" ht="11.45" hidden="false" customHeight="false" outlineLevel="0" collapsed="false">
      <c r="B50" s="12" t="s">
        <v>58</v>
      </c>
      <c r="C50" s="12" t="n">
        <v>1240</v>
      </c>
      <c r="D50" s="12" t="s">
        <v>72</v>
      </c>
      <c r="E50" s="13" t="n">
        <v>-10461.36</v>
      </c>
      <c r="F50" s="12" t="n">
        <v>2069010000</v>
      </c>
    </row>
    <row r="51" customFormat="false" ht="11.45" hidden="false" customHeight="false" outlineLevel="0" collapsed="false">
      <c r="B51" s="12" t="s">
        <v>58</v>
      </c>
      <c r="C51" s="12" t="n">
        <v>1007</v>
      </c>
      <c r="D51" s="12" t="s">
        <v>150</v>
      </c>
      <c r="E51" s="13" t="n">
        <v>0</v>
      </c>
      <c r="F51" s="12" t="n">
        <v>2069010000</v>
      </c>
    </row>
    <row r="52" customFormat="false" ht="11.45" hidden="false" customHeight="false" outlineLevel="0" collapsed="false">
      <c r="B52" s="12" t="s">
        <v>58</v>
      </c>
      <c r="C52" s="12" t="s">
        <v>151</v>
      </c>
      <c r="D52" s="12" t="s">
        <v>152</v>
      </c>
      <c r="E52" s="13" t="n">
        <v>-482611.045</v>
      </c>
      <c r="F52" s="12" t="n">
        <v>2069010000</v>
      </c>
    </row>
    <row r="53" customFormat="false" ht="11.45" hidden="false" customHeight="false" outlineLevel="0" collapsed="false">
      <c r="B53" s="12" t="s">
        <v>58</v>
      </c>
      <c r="C53" s="12" t="n">
        <v>111111</v>
      </c>
      <c r="D53" s="12" t="s">
        <v>27</v>
      </c>
      <c r="E53" s="13" t="n">
        <v>-6785.94</v>
      </c>
      <c r="F53" s="12" t="n">
        <v>2069010000</v>
      </c>
    </row>
    <row r="54" customFormat="false" ht="11.45" hidden="false" customHeight="false" outlineLevel="0" collapsed="false">
      <c r="B54" s="12" t="str">
        <f aca="false">B53</f>
        <v>Corporate recharges</v>
      </c>
      <c r="C54" s="12" t="s">
        <v>135</v>
      </c>
      <c r="D54" s="12" t="s">
        <v>135</v>
      </c>
      <c r="E54" s="13" t="n">
        <f aca="false">+SUM(E43:E53)</f>
        <v>-2924091.995</v>
      </c>
      <c r="F54" s="12" t="n">
        <f aca="false">F53</f>
        <v>2069010000</v>
      </c>
    </row>
    <row r="55" customFormat="false" ht="11.45" hidden="false" customHeight="false" outlineLevel="0" collapsed="false">
      <c r="B55" s="12" t="s">
        <v>75</v>
      </c>
      <c r="C55" s="12" t="n">
        <v>88</v>
      </c>
      <c r="D55" s="12" t="s">
        <v>45</v>
      </c>
      <c r="E55" s="13" t="n">
        <v>-2436.35</v>
      </c>
      <c r="F55" s="12" t="n">
        <v>2069980000</v>
      </c>
    </row>
    <row r="56" customFormat="false" ht="11.45" hidden="false" customHeight="false" outlineLevel="0" collapsed="false">
      <c r="B56" s="12" t="s">
        <v>75</v>
      </c>
      <c r="C56" s="12" t="n">
        <v>111111</v>
      </c>
      <c r="D56" s="12" t="s">
        <v>27</v>
      </c>
      <c r="E56" s="13" t="n">
        <v>9793.84</v>
      </c>
      <c r="F56" s="12" t="n">
        <v>2069980000</v>
      </c>
    </row>
    <row r="57" customFormat="false" ht="11.45" hidden="false" customHeight="false" outlineLevel="0" collapsed="false">
      <c r="B57" s="12" t="str">
        <f aca="false">B56</f>
        <v>Other income</v>
      </c>
      <c r="C57" s="12" t="s">
        <v>135</v>
      </c>
      <c r="D57" s="12" t="s">
        <v>135</v>
      </c>
      <c r="E57" s="13" t="n">
        <f aca="false">+E55+E56</f>
        <v>7357.49</v>
      </c>
      <c r="F57" s="12" t="n">
        <f aca="false">F56</f>
        <v>2069980000</v>
      </c>
    </row>
    <row r="58" customFormat="false" ht="11.45" hidden="false" customHeight="false" outlineLevel="0" collapsed="false">
      <c r="B58" s="12" t="s">
        <v>153</v>
      </c>
      <c r="C58" s="12" t="n">
        <v>111101</v>
      </c>
      <c r="D58" s="12" t="s">
        <v>38</v>
      </c>
      <c r="E58" s="13" t="n">
        <v>81.34</v>
      </c>
      <c r="F58" s="12" t="n">
        <v>2070290000</v>
      </c>
    </row>
    <row r="59" customFormat="false" ht="11.45" hidden="false" customHeight="false" outlineLevel="0" collapsed="false">
      <c r="B59" s="12" t="str">
        <f aca="false">B58</f>
        <v>Concession fees other</v>
      </c>
      <c r="C59" s="12" t="s">
        <v>135</v>
      </c>
      <c r="D59" s="12" t="s">
        <v>135</v>
      </c>
      <c r="E59" s="13" t="n">
        <f aca="false">E58</f>
        <v>81.34</v>
      </c>
      <c r="F59" s="12" t="n">
        <f aca="false">F58</f>
        <v>2070290000</v>
      </c>
    </row>
    <row r="60" customFormat="false" ht="11.45" hidden="false" customHeight="false" outlineLevel="0" collapsed="false">
      <c r="B60" s="12" t="s">
        <v>77</v>
      </c>
      <c r="C60" s="12" t="n">
        <v>111111</v>
      </c>
      <c r="D60" s="12" t="s">
        <v>27</v>
      </c>
      <c r="E60" s="13" t="n">
        <v>65947.7</v>
      </c>
      <c r="F60" s="12" t="n">
        <v>2070400000</v>
      </c>
    </row>
    <row r="61" customFormat="false" ht="11.45" hidden="false" customHeight="false" outlineLevel="0" collapsed="false">
      <c r="B61" s="12" t="str">
        <f aca="false">B60</f>
        <v>Marketing expenses</v>
      </c>
      <c r="C61" s="12" t="s">
        <v>135</v>
      </c>
      <c r="D61" s="12" t="s">
        <v>135</v>
      </c>
      <c r="E61" s="13" t="n">
        <f aca="false">E60</f>
        <v>65947.7</v>
      </c>
      <c r="F61" s="12" t="n">
        <f aca="false">F60</f>
        <v>2070400000</v>
      </c>
    </row>
    <row r="62" customFormat="false" ht="11.45" hidden="false" customHeight="false" outlineLevel="0" collapsed="false">
      <c r="B62" s="12" t="s">
        <v>79</v>
      </c>
      <c r="C62" s="12" t="n">
        <v>111111</v>
      </c>
      <c r="D62" s="12" t="s">
        <v>27</v>
      </c>
      <c r="E62" s="13" t="n">
        <v>5138.91</v>
      </c>
      <c r="F62" s="12" t="n">
        <v>2070500000</v>
      </c>
    </row>
    <row r="63" customFormat="false" ht="11.45" hidden="false" customHeight="false" outlineLevel="0" collapsed="false">
      <c r="B63" s="12" t="str">
        <f aca="false">B62</f>
        <v>Software&amp;IT</v>
      </c>
      <c r="C63" s="12" t="s">
        <v>135</v>
      </c>
      <c r="D63" s="12" t="s">
        <v>135</v>
      </c>
      <c r="E63" s="13" t="n">
        <f aca="false">E62</f>
        <v>5138.91</v>
      </c>
      <c r="F63" s="12" t="n">
        <f aca="false">F62</f>
        <v>2070500000</v>
      </c>
    </row>
    <row r="64" customFormat="false" ht="11.45" hidden="false" customHeight="false" outlineLevel="0" collapsed="false">
      <c r="B64" s="12" t="s">
        <v>82</v>
      </c>
      <c r="C64" s="12" t="n">
        <v>111111</v>
      </c>
      <c r="D64" s="12" t="s">
        <v>27</v>
      </c>
      <c r="E64" s="13" t="n">
        <v>1055381.475</v>
      </c>
      <c r="F64" s="12" t="n">
        <v>2070600000</v>
      </c>
    </row>
    <row r="65" customFormat="false" ht="11.45" hidden="false" customHeight="false" outlineLevel="0" collapsed="false">
      <c r="B65" s="12" t="str">
        <f aca="false">B64</f>
        <v>Leasings</v>
      </c>
      <c r="C65" s="12" t="s">
        <v>135</v>
      </c>
      <c r="D65" s="12" t="s">
        <v>135</v>
      </c>
      <c r="E65" s="13" t="n">
        <f aca="false">E64</f>
        <v>1055381.475</v>
      </c>
      <c r="F65" s="12" t="n">
        <f aca="false">F64</f>
        <v>2070600000</v>
      </c>
    </row>
    <row r="66" customFormat="false" ht="11.45" hidden="false" customHeight="false" outlineLevel="0" collapsed="false">
      <c r="B66" s="12" t="s">
        <v>84</v>
      </c>
      <c r="C66" s="12" t="s">
        <v>88</v>
      </c>
      <c r="D66" s="12" t="s">
        <v>89</v>
      </c>
      <c r="E66" s="13" t="n">
        <v>430845.345</v>
      </c>
      <c r="F66" s="12" t="n">
        <v>2070900000</v>
      </c>
    </row>
    <row r="67" customFormat="false" ht="11.45" hidden="false" customHeight="false" outlineLevel="0" collapsed="false">
      <c r="B67" s="12" t="s">
        <v>84</v>
      </c>
      <c r="C67" s="12" t="n">
        <v>105</v>
      </c>
      <c r="D67" s="12" t="s">
        <v>107</v>
      </c>
      <c r="E67" s="13" t="n">
        <v>276920</v>
      </c>
      <c r="F67" s="12" t="n">
        <v>2070900000</v>
      </c>
    </row>
    <row r="68" customFormat="false" ht="11.45" hidden="false" customHeight="false" outlineLevel="0" collapsed="false">
      <c r="B68" s="12" t="s">
        <v>84</v>
      </c>
      <c r="C68" s="12" t="n">
        <v>111111</v>
      </c>
      <c r="D68" s="12" t="s">
        <v>27</v>
      </c>
      <c r="E68" s="13" t="n">
        <v>1130021</v>
      </c>
      <c r="F68" s="12" t="n">
        <v>2070900000</v>
      </c>
    </row>
    <row r="69" customFormat="false" ht="11.45" hidden="false" customHeight="false" outlineLevel="0" collapsed="false">
      <c r="B69" s="12" t="str">
        <f aca="false">B68</f>
        <v>Service expenses</v>
      </c>
      <c r="C69" s="12" t="s">
        <v>135</v>
      </c>
      <c r="D69" s="12" t="s">
        <v>135</v>
      </c>
      <c r="E69" s="13" t="n">
        <f aca="false">SUM(E66:E68)</f>
        <v>1837786.345</v>
      </c>
      <c r="F69" s="12" t="n">
        <f aca="false">F68</f>
        <v>2070900000</v>
      </c>
    </row>
    <row r="70" customFormat="false" ht="11.45" hidden="false" customHeight="false" outlineLevel="0" collapsed="false">
      <c r="B70" s="12" t="s">
        <v>92</v>
      </c>
      <c r="C70" s="12" t="n">
        <v>111111</v>
      </c>
      <c r="D70" s="12" t="s">
        <v>27</v>
      </c>
      <c r="E70" s="13" t="n">
        <v>7293.545</v>
      </c>
      <c r="F70" s="12" t="n">
        <v>2071000000</v>
      </c>
    </row>
    <row r="71" customFormat="false" ht="11.45" hidden="false" customHeight="false" outlineLevel="0" collapsed="false">
      <c r="B71" s="12" t="str">
        <f aca="false">B70</f>
        <v>Charges and contributions</v>
      </c>
      <c r="C71" s="12" t="s">
        <v>135</v>
      </c>
      <c r="D71" s="12" t="s">
        <v>135</v>
      </c>
      <c r="E71" s="13" t="n">
        <f aca="false">E70</f>
        <v>7293.545</v>
      </c>
      <c r="F71" s="12" t="n">
        <f aca="false">F70</f>
        <v>2071000000</v>
      </c>
    </row>
    <row r="72" customFormat="false" ht="11.45" hidden="false" customHeight="false" outlineLevel="0" collapsed="false">
      <c r="B72" s="12" t="s">
        <v>94</v>
      </c>
      <c r="C72" s="12" t="n">
        <v>1900</v>
      </c>
      <c r="D72" s="12" t="s">
        <v>154</v>
      </c>
      <c r="E72" s="13" t="n">
        <v>0</v>
      </c>
      <c r="F72" s="12" t="n">
        <v>2071100000</v>
      </c>
    </row>
    <row r="73" customFormat="false" ht="11.45" hidden="false" customHeight="false" outlineLevel="0" collapsed="false">
      <c r="B73" s="12" t="s">
        <v>94</v>
      </c>
      <c r="C73" s="12" t="n">
        <v>111111</v>
      </c>
      <c r="D73" s="12" t="s">
        <v>27</v>
      </c>
      <c r="E73" s="13" t="n">
        <v>48468.665</v>
      </c>
      <c r="F73" s="12" t="n">
        <v>2071100000</v>
      </c>
    </row>
    <row r="74" customFormat="false" ht="11.45" hidden="false" customHeight="false" outlineLevel="0" collapsed="false">
      <c r="B74" s="12" t="str">
        <f aca="false">B73</f>
        <v>Insurance expenses</v>
      </c>
      <c r="C74" s="12" t="s">
        <v>135</v>
      </c>
      <c r="D74" s="12" t="s">
        <v>135</v>
      </c>
      <c r="E74" s="13" t="n">
        <f aca="false">+SUM(E72:E73)</f>
        <v>48468.665</v>
      </c>
      <c r="F74" s="12" t="n">
        <f aca="false">F73</f>
        <v>2071100000</v>
      </c>
    </row>
    <row r="75" customFormat="false" ht="11.45" hidden="false" customHeight="false" outlineLevel="0" collapsed="false">
      <c r="B75" s="12" t="s">
        <v>96</v>
      </c>
      <c r="C75" s="12" t="s">
        <v>155</v>
      </c>
      <c r="D75" s="12" t="s">
        <v>156</v>
      </c>
      <c r="E75" s="13" t="n">
        <v>23928.8</v>
      </c>
      <c r="F75" s="12" t="n">
        <v>2071209200</v>
      </c>
    </row>
    <row r="76" customFormat="false" ht="11.45" hidden="false" customHeight="false" outlineLevel="0" collapsed="false">
      <c r="B76" s="12" t="s">
        <v>96</v>
      </c>
      <c r="C76" s="12" t="n">
        <v>111111</v>
      </c>
      <c r="D76" s="12" t="s">
        <v>27</v>
      </c>
      <c r="E76" s="13" t="n">
        <v>2393259.19</v>
      </c>
      <c r="F76" s="12" t="n">
        <v>2071209200</v>
      </c>
    </row>
    <row r="77" customFormat="false" ht="11.45" hidden="false" customHeight="false" outlineLevel="0" collapsed="false">
      <c r="B77" s="12" t="str">
        <f aca="false">B76</f>
        <v>Travel expenses</v>
      </c>
      <c r="C77" s="12" t="s">
        <v>135</v>
      </c>
      <c r="D77" s="12" t="s">
        <v>135</v>
      </c>
      <c r="E77" s="13" t="n">
        <f aca="false">E75+E76</f>
        <v>2417187.99</v>
      </c>
      <c r="F77" s="12" t="n">
        <f aca="false">F76</f>
        <v>2071209200</v>
      </c>
    </row>
    <row r="78" customFormat="false" ht="11.45" hidden="false" customHeight="false" outlineLevel="0" collapsed="false">
      <c r="B78" s="12" t="s">
        <v>98</v>
      </c>
      <c r="C78" s="12" t="n">
        <v>111111</v>
      </c>
      <c r="D78" s="12" t="s">
        <v>27</v>
      </c>
      <c r="E78" s="13" t="n">
        <v>23069.655</v>
      </c>
      <c r="F78" s="12" t="n">
        <v>2071209400</v>
      </c>
    </row>
    <row r="79" customFormat="false" ht="11.45" hidden="false" customHeight="false" outlineLevel="0" collapsed="false">
      <c r="B79" s="12" t="str">
        <f aca="false">B78</f>
        <v>Utility expenses</v>
      </c>
      <c r="C79" s="12" t="s">
        <v>135</v>
      </c>
      <c r="D79" s="12" t="s">
        <v>135</v>
      </c>
      <c r="E79" s="13" t="n">
        <f aca="false">+E78</f>
        <v>23069.655</v>
      </c>
      <c r="F79" s="12" t="n">
        <f aca="false">F78</f>
        <v>2071209400</v>
      </c>
    </row>
    <row r="80" customFormat="false" ht="11.45" hidden="false" customHeight="false" outlineLevel="0" collapsed="false">
      <c r="B80" s="12" t="s">
        <v>100</v>
      </c>
      <c r="C80" s="12" t="n">
        <v>111111</v>
      </c>
      <c r="D80" s="12" t="s">
        <v>27</v>
      </c>
      <c r="E80" s="13" t="n">
        <v>208366.935</v>
      </c>
      <c r="F80" s="12" t="n">
        <v>2071209500</v>
      </c>
    </row>
    <row r="81" customFormat="false" ht="11.45" hidden="false" customHeight="false" outlineLevel="0" collapsed="false">
      <c r="B81" s="12" t="str">
        <f aca="false">B80</f>
        <v>Legal expenses</v>
      </c>
      <c r="C81" s="12" t="s">
        <v>135</v>
      </c>
      <c r="D81" s="12" t="s">
        <v>135</v>
      </c>
      <c r="E81" s="13" t="n">
        <f aca="false">+E80</f>
        <v>208366.935</v>
      </c>
      <c r="F81" s="12" t="n">
        <f aca="false">F80</f>
        <v>2071209500</v>
      </c>
    </row>
    <row r="82" customFormat="false" ht="11.45" hidden="false" customHeight="false" outlineLevel="0" collapsed="false">
      <c r="B82" s="12" t="s">
        <v>157</v>
      </c>
      <c r="C82" s="12" t="n">
        <v>111111</v>
      </c>
      <c r="D82" s="12" t="s">
        <v>27</v>
      </c>
      <c r="E82" s="13" t="n">
        <v>308232</v>
      </c>
      <c r="F82" s="12" t="n">
        <v>2071220000</v>
      </c>
    </row>
    <row r="83" customFormat="false" ht="11.45" hidden="false" customHeight="false" outlineLevel="0" collapsed="false">
      <c r="B83" s="12" t="str">
        <f aca="false">B82</f>
        <v>Losses fr disposal of PPE</v>
      </c>
      <c r="C83" s="12" t="s">
        <v>135</v>
      </c>
      <c r="D83" s="12" t="s">
        <v>135</v>
      </c>
      <c r="E83" s="13" t="n">
        <f aca="false">+E82</f>
        <v>308232</v>
      </c>
      <c r="F83" s="12" t="n">
        <f aca="false">F82</f>
        <v>2071220000</v>
      </c>
    </row>
    <row r="84" customFormat="false" ht="11.45" hidden="false" customHeight="false" outlineLevel="0" collapsed="false">
      <c r="B84" s="12" t="s">
        <v>158</v>
      </c>
      <c r="C84" s="12" t="n">
        <v>19</v>
      </c>
      <c r="D84" s="12" t="s">
        <v>62</v>
      </c>
      <c r="E84" s="13" t="n">
        <v>13422.78</v>
      </c>
      <c r="F84" s="12" t="n">
        <v>2071511000</v>
      </c>
    </row>
    <row r="85" customFormat="false" ht="11.45" hidden="false" customHeight="false" outlineLevel="0" collapsed="false">
      <c r="B85" s="12" t="s">
        <v>158</v>
      </c>
      <c r="C85" s="12" t="n">
        <v>111111</v>
      </c>
      <c r="D85" s="12" t="s">
        <v>27</v>
      </c>
      <c r="E85" s="13" t="n">
        <v>4045.615</v>
      </c>
      <c r="F85" s="12" t="n">
        <v>2071511000</v>
      </c>
    </row>
    <row r="86" customFormat="false" ht="11.45" hidden="false" customHeight="false" outlineLevel="0" collapsed="false">
      <c r="B86" s="12" t="str">
        <f aca="false">B85</f>
        <v>Other operative currency differences</v>
      </c>
      <c r="C86" s="12" t="s">
        <v>135</v>
      </c>
      <c r="D86" s="12" t="s">
        <v>135</v>
      </c>
      <c r="E86" s="13" t="n">
        <f aca="false">+E84+E85</f>
        <v>17468.395</v>
      </c>
      <c r="F86" s="12" t="n">
        <f aca="false">F85</f>
        <v>2071511000</v>
      </c>
    </row>
    <row r="87" customFormat="false" ht="11.45" hidden="false" customHeight="false" outlineLevel="0" collapsed="false">
      <c r="B87" s="12" t="s">
        <v>159</v>
      </c>
      <c r="C87" s="12" t="n">
        <v>111111</v>
      </c>
      <c r="D87" s="12" t="s">
        <v>27</v>
      </c>
      <c r="E87" s="13" t="n">
        <v>49621.145</v>
      </c>
      <c r="F87" s="12" t="n">
        <v>2071910000</v>
      </c>
    </row>
    <row r="88" customFormat="false" ht="11.45" hidden="false" customHeight="false" outlineLevel="0" collapsed="false">
      <c r="B88" s="12" t="str">
        <f aca="false">B87</f>
        <v>Property tax</v>
      </c>
      <c r="C88" s="12" t="s">
        <v>135</v>
      </c>
      <c r="D88" s="12" t="s">
        <v>135</v>
      </c>
      <c r="E88" s="13" t="n">
        <f aca="false">+E87</f>
        <v>49621.145</v>
      </c>
      <c r="F88" s="12" t="n">
        <f aca="false">F87</f>
        <v>2071910000</v>
      </c>
    </row>
    <row r="89" customFormat="false" ht="11.45" hidden="false" customHeight="false" outlineLevel="0" collapsed="false">
      <c r="B89" s="12" t="s">
        <v>102</v>
      </c>
      <c r="C89" s="12" t="n">
        <v>111101</v>
      </c>
      <c r="D89" s="12" t="s">
        <v>38</v>
      </c>
      <c r="E89" s="13" t="n">
        <v>20323.31</v>
      </c>
      <c r="F89" s="12" t="n">
        <v>2071980000</v>
      </c>
    </row>
    <row r="90" customFormat="false" ht="11.45" hidden="false" customHeight="false" outlineLevel="0" collapsed="false">
      <c r="B90" s="12" t="str">
        <f aca="false">B89</f>
        <v>Misc costs</v>
      </c>
      <c r="C90" s="12" t="s">
        <v>135</v>
      </c>
      <c r="D90" s="12" t="s">
        <v>135</v>
      </c>
      <c r="E90" s="13" t="n">
        <f aca="false">+E89</f>
        <v>20323.31</v>
      </c>
      <c r="F90" s="12" t="n">
        <f aca="false">F89</f>
        <v>2071980000</v>
      </c>
    </row>
    <row r="91" customFormat="false" ht="11.45" hidden="false" customHeight="false" outlineLevel="0" collapsed="false">
      <c r="B91" s="12" t="s">
        <v>104</v>
      </c>
      <c r="C91" s="12" t="n">
        <v>111111</v>
      </c>
      <c r="D91" s="12" t="s">
        <v>27</v>
      </c>
      <c r="E91" s="13" t="n">
        <v>169489</v>
      </c>
      <c r="F91" s="12" t="n">
        <v>2079022000</v>
      </c>
    </row>
    <row r="92" customFormat="false" ht="11.45" hidden="false" customHeight="false" outlineLevel="0" collapsed="false">
      <c r="B92" s="12" t="str">
        <f aca="false">B91</f>
        <v>Consulting fees</v>
      </c>
      <c r="C92" s="12" t="s">
        <v>135</v>
      </c>
      <c r="D92" s="12" t="s">
        <v>135</v>
      </c>
      <c r="E92" s="13" t="n">
        <f aca="false">+E91</f>
        <v>169489</v>
      </c>
      <c r="F92" s="12" t="n">
        <f aca="false">F91</f>
        <v>2079022000</v>
      </c>
    </row>
    <row r="93" customFormat="false" ht="11.45" hidden="false" customHeight="false" outlineLevel="0" collapsed="false">
      <c r="B93" s="12" t="s">
        <v>106</v>
      </c>
      <c r="C93" s="12" t="n">
        <v>19</v>
      </c>
      <c r="D93" s="12" t="s">
        <v>62</v>
      </c>
      <c r="E93" s="13" t="n">
        <v>85462.685</v>
      </c>
      <c r="F93" s="12" t="n">
        <v>2079070000</v>
      </c>
    </row>
    <row r="94" customFormat="false" ht="11.45" hidden="false" customHeight="false" outlineLevel="0" collapsed="false">
      <c r="B94" s="12" t="s">
        <v>106</v>
      </c>
      <c r="C94" s="12" t="s">
        <v>85</v>
      </c>
      <c r="D94" s="12" t="s">
        <v>86</v>
      </c>
      <c r="E94" s="13" t="n">
        <v>11422.145</v>
      </c>
      <c r="F94" s="12" t="n">
        <v>2079070000</v>
      </c>
    </row>
    <row r="95" customFormat="false" ht="11.45" hidden="false" customHeight="false" outlineLevel="0" collapsed="false">
      <c r="B95" s="12" t="s">
        <v>106</v>
      </c>
      <c r="C95" s="12" t="s">
        <v>141</v>
      </c>
      <c r="D95" s="12" t="s">
        <v>142</v>
      </c>
      <c r="E95" s="13" t="n">
        <v>84438.865</v>
      </c>
      <c r="F95" s="12" t="n">
        <v>2079070000</v>
      </c>
    </row>
    <row r="96" customFormat="false" ht="11.45" hidden="false" customHeight="false" outlineLevel="0" collapsed="false">
      <c r="B96" s="12" t="s">
        <v>106</v>
      </c>
      <c r="C96" s="12" t="n">
        <v>111111</v>
      </c>
      <c r="D96" s="12" t="s">
        <v>27</v>
      </c>
      <c r="E96" s="13" t="n">
        <v>638869.13</v>
      </c>
      <c r="F96" s="12" t="n">
        <v>2079070000</v>
      </c>
    </row>
    <row r="97" customFormat="false" ht="11.45" hidden="false" customHeight="false" outlineLevel="0" collapsed="false">
      <c r="B97" s="12" t="str">
        <f aca="false">B96</f>
        <v>Misc extraordinary expenses</v>
      </c>
      <c r="C97" s="12" t="s">
        <v>135</v>
      </c>
      <c r="D97" s="12" t="s">
        <v>135</v>
      </c>
      <c r="E97" s="13" t="n">
        <f aca="false">+SUM(E93:E96)</f>
        <v>820192.825</v>
      </c>
      <c r="F97" s="12" t="n">
        <f aca="false">F96</f>
        <v>2079070000</v>
      </c>
    </row>
    <row r="98" customFormat="false" ht="11.45" hidden="false" customHeight="false" outlineLevel="0" collapsed="false">
      <c r="B98" s="12" t="s">
        <v>110</v>
      </c>
      <c r="C98" s="12" t="s">
        <v>136</v>
      </c>
      <c r="D98" s="12" t="s">
        <v>137</v>
      </c>
      <c r="E98" s="13" t="n">
        <v>0</v>
      </c>
      <c r="F98" s="12" t="n">
        <v>2079080000</v>
      </c>
    </row>
    <row r="99" customFormat="false" ht="11.45" hidden="false" customHeight="false" outlineLevel="0" collapsed="false">
      <c r="B99" s="12" t="s">
        <v>110</v>
      </c>
      <c r="C99" s="12" t="n">
        <v>1007</v>
      </c>
      <c r="D99" s="12" t="s">
        <v>34</v>
      </c>
      <c r="E99" s="13" t="n">
        <v>0</v>
      </c>
      <c r="F99" s="12" t="n">
        <v>2079080000</v>
      </c>
    </row>
    <row r="100" customFormat="false" ht="11.45" hidden="false" customHeight="false" outlineLevel="0" collapsed="false">
      <c r="B100" s="12" t="s">
        <v>110</v>
      </c>
      <c r="C100" s="12" t="n">
        <v>1008</v>
      </c>
      <c r="D100" s="12" t="s">
        <v>36</v>
      </c>
      <c r="E100" s="13" t="n">
        <v>0</v>
      </c>
      <c r="F100" s="12" t="n">
        <v>2079080000</v>
      </c>
    </row>
    <row r="101" customFormat="false" ht="11.45" hidden="false" customHeight="false" outlineLevel="0" collapsed="false">
      <c r="B101" s="12" t="str">
        <f aca="false">B100</f>
        <v>Difference from eliminations</v>
      </c>
      <c r="C101" s="12" t="s">
        <v>135</v>
      </c>
      <c r="D101" s="12" t="s">
        <v>135</v>
      </c>
      <c r="E101" s="13" t="n">
        <f aca="false">+SUM(E98:E100)</f>
        <v>0</v>
      </c>
      <c r="F101" s="12" t="n">
        <f aca="false">F100</f>
        <v>2079080000</v>
      </c>
    </row>
    <row r="102" customFormat="false" ht="11.45" hidden="false" customHeight="false" outlineLevel="0" collapsed="false">
      <c r="B102" s="12" t="s">
        <v>114</v>
      </c>
      <c r="C102" s="12" t="s">
        <v>136</v>
      </c>
      <c r="D102" s="12" t="s">
        <v>137</v>
      </c>
      <c r="E102" s="13" t="n">
        <v>0</v>
      </c>
      <c r="F102" s="12" t="n">
        <v>2082280000</v>
      </c>
    </row>
    <row r="103" customFormat="false" ht="11.45" hidden="false" customHeight="false" outlineLevel="0" collapsed="false">
      <c r="B103" s="12" t="s">
        <v>114</v>
      </c>
      <c r="C103" s="12" t="n">
        <v>1009</v>
      </c>
      <c r="D103" s="12" t="s">
        <v>32</v>
      </c>
      <c r="E103" s="13" t="n">
        <v>0</v>
      </c>
      <c r="F103" s="12" t="n">
        <v>2082280000</v>
      </c>
    </row>
    <row r="104" customFormat="false" ht="11.45" hidden="false" customHeight="false" outlineLevel="0" collapsed="false">
      <c r="B104" s="12" t="s">
        <v>114</v>
      </c>
      <c r="C104" s="12" t="n">
        <v>1007</v>
      </c>
      <c r="D104" s="12" t="s">
        <v>34</v>
      </c>
      <c r="E104" s="13" t="n">
        <v>0</v>
      </c>
      <c r="F104" s="12" t="n">
        <v>2082280000</v>
      </c>
    </row>
    <row r="105" customFormat="false" ht="11.45" hidden="false" customHeight="false" outlineLevel="0" collapsed="false">
      <c r="B105" s="12" t="s">
        <v>114</v>
      </c>
      <c r="C105" s="12" t="n">
        <v>1008</v>
      </c>
      <c r="D105" s="12" t="s">
        <v>36</v>
      </c>
      <c r="E105" s="13" t="n">
        <v>0</v>
      </c>
      <c r="F105" s="12" t="n">
        <v>2082280000</v>
      </c>
    </row>
    <row r="106" customFormat="false" ht="11.45" hidden="false" customHeight="false" outlineLevel="0" collapsed="false">
      <c r="B106" s="12" t="s">
        <v>114</v>
      </c>
      <c r="C106" s="12" t="n">
        <v>1240</v>
      </c>
      <c r="D106" s="12" t="s">
        <v>72</v>
      </c>
      <c r="E106" s="13" t="n">
        <v>-34224.96</v>
      </c>
      <c r="F106" s="12" t="n">
        <v>2082280000</v>
      </c>
    </row>
    <row r="107" customFormat="false" ht="11.45" hidden="false" customHeight="false" outlineLevel="0" collapsed="false">
      <c r="B107" s="12" t="s">
        <v>114</v>
      </c>
      <c r="C107" s="12" t="n">
        <v>1006</v>
      </c>
      <c r="D107" s="12" t="s">
        <v>160</v>
      </c>
      <c r="E107" s="13" t="n">
        <v>-6778.415</v>
      </c>
      <c r="F107" s="12" t="n">
        <v>2082280000</v>
      </c>
    </row>
    <row r="108" customFormat="false" ht="11.45" hidden="false" customHeight="false" outlineLevel="0" collapsed="false">
      <c r="B108" s="12" t="s">
        <v>114</v>
      </c>
      <c r="C108" s="12" t="n">
        <v>1007</v>
      </c>
      <c r="D108" s="12" t="s">
        <v>150</v>
      </c>
      <c r="E108" s="13" t="n">
        <v>0</v>
      </c>
      <c r="F108" s="12" t="n">
        <v>2082280000</v>
      </c>
    </row>
    <row r="109" customFormat="false" ht="11.45" hidden="false" customHeight="false" outlineLevel="0" collapsed="false">
      <c r="B109" s="12" t="s">
        <v>114</v>
      </c>
      <c r="C109" s="12" t="n">
        <v>111111</v>
      </c>
      <c r="D109" s="12" t="s">
        <v>27</v>
      </c>
      <c r="E109" s="13" t="n">
        <v>-2204.72</v>
      </c>
      <c r="F109" s="12" t="n">
        <v>2082280000</v>
      </c>
    </row>
    <row r="110" customFormat="false" ht="11.45" hidden="false" customHeight="false" outlineLevel="0" collapsed="false">
      <c r="B110" s="12" t="str">
        <f aca="false">B109</f>
        <v>Interest income</v>
      </c>
      <c r="C110" s="12" t="s">
        <v>135</v>
      </c>
      <c r="D110" s="12" t="s">
        <v>135</v>
      </c>
      <c r="E110" s="13" t="n">
        <f aca="false">+SUM(E98:E109)</f>
        <v>-43208.095</v>
      </c>
      <c r="F110" s="12" t="n">
        <f aca="false">F109</f>
        <v>2082280000</v>
      </c>
    </row>
    <row r="111" customFormat="false" ht="11.45" hidden="false" customHeight="false" outlineLevel="0" collapsed="false">
      <c r="B111" s="12" t="s">
        <v>122</v>
      </c>
      <c r="C111" s="12" t="n">
        <v>111101</v>
      </c>
      <c r="D111" s="12" t="s">
        <v>38</v>
      </c>
      <c r="E111" s="13" t="n">
        <v>80617.18</v>
      </c>
      <c r="F111" s="12" t="n">
        <v>2082208200</v>
      </c>
    </row>
    <row r="112" customFormat="false" ht="11.45" hidden="false" customHeight="false" outlineLevel="0" collapsed="false">
      <c r="B112" s="12" t="str">
        <f aca="false">B111</f>
        <v>Non-recurring costs</v>
      </c>
      <c r="C112" s="12" t="s">
        <v>135</v>
      </c>
      <c r="D112" s="12" t="s">
        <v>135</v>
      </c>
      <c r="E112" s="13" t="n">
        <f aca="false">+E111</f>
        <v>80617.18</v>
      </c>
      <c r="F112" s="12" t="n">
        <f aca="false">F111</f>
        <v>2082208200</v>
      </c>
    </row>
    <row r="113" customFormat="false" ht="11.45" hidden="false" customHeight="false" outlineLevel="0" collapsed="false">
      <c r="B113" s="12" t="s">
        <v>124</v>
      </c>
      <c r="C113" s="12" t="n">
        <v>88</v>
      </c>
      <c r="D113" s="12" t="s">
        <v>45</v>
      </c>
      <c r="E113" s="13" t="n">
        <v>2752704.22</v>
      </c>
      <c r="F113" s="12" t="n">
        <v>2082214000</v>
      </c>
    </row>
    <row r="114" customFormat="false" ht="11.45" hidden="false" customHeight="false" outlineLevel="0" collapsed="false">
      <c r="B114" s="12" t="s">
        <v>124</v>
      </c>
      <c r="C114" s="12" t="n">
        <v>1007</v>
      </c>
      <c r="D114" s="12" t="s">
        <v>150</v>
      </c>
      <c r="E114" s="13" t="n">
        <v>0</v>
      </c>
      <c r="F114" s="12" t="n">
        <v>2082214000</v>
      </c>
    </row>
    <row r="115" customFormat="false" ht="11.45" hidden="false" customHeight="false" outlineLevel="0" collapsed="false">
      <c r="B115" s="12" t="s">
        <v>124</v>
      </c>
      <c r="C115" s="12" t="n">
        <v>111111</v>
      </c>
      <c r="D115" s="12" t="s">
        <v>27</v>
      </c>
      <c r="E115" s="13" t="n">
        <v>1250.795</v>
      </c>
      <c r="F115" s="12" t="n">
        <v>2082214000</v>
      </c>
    </row>
    <row r="116" customFormat="false" ht="11.45" hidden="false" customHeight="false" outlineLevel="0" collapsed="false">
      <c r="B116" s="12" t="str">
        <f aca="false">B115</f>
        <v>Interest expenses</v>
      </c>
      <c r="C116" s="12" t="s">
        <v>135</v>
      </c>
      <c r="D116" s="12" t="s">
        <v>135</v>
      </c>
      <c r="E116" s="13" t="n">
        <f aca="false">+SUM(E113:E115)</f>
        <v>2753955.015</v>
      </c>
      <c r="F116" s="12" t="n">
        <f aca="false">F115</f>
        <v>2082214000</v>
      </c>
    </row>
    <row r="117" customFormat="false" ht="11.45" hidden="false" customHeight="false" outlineLevel="0" collapsed="false">
      <c r="B117" s="12" t="s">
        <v>161</v>
      </c>
      <c r="C117" s="12" t="n">
        <v>1240</v>
      </c>
      <c r="D117" s="12" t="s">
        <v>72</v>
      </c>
      <c r="E117" s="13" t="n">
        <v>4130000</v>
      </c>
      <c r="F117" s="12" t="n">
        <v>2082110000</v>
      </c>
    </row>
    <row r="118" customFormat="false" ht="11.45" hidden="false" customHeight="false" outlineLevel="0" collapsed="false">
      <c r="B118" s="12" t="str">
        <f aca="false">B117</f>
        <v>Impairment of participation</v>
      </c>
      <c r="C118" s="12" t="s">
        <v>135</v>
      </c>
      <c r="D118" s="12" t="s">
        <v>135</v>
      </c>
      <c r="E118" s="13" t="n">
        <f aca="false">E117</f>
        <v>4130000</v>
      </c>
      <c r="F118" s="12" t="n">
        <f aca="false">F117</f>
        <v>2082110000</v>
      </c>
    </row>
    <row r="119" customFormat="false" ht="11.45" hidden="false" customHeight="false" outlineLevel="0" collapsed="false">
      <c r="B119" s="12" t="s">
        <v>126</v>
      </c>
      <c r="C119" s="12" t="n">
        <v>111101</v>
      </c>
      <c r="D119" s="12" t="s">
        <v>38</v>
      </c>
      <c r="E119" s="13" t="n">
        <v>496748.7</v>
      </c>
      <c r="F119" s="12" t="n">
        <v>2091200000</v>
      </c>
    </row>
    <row r="120" customFormat="false" ht="11.45" hidden="false" customHeight="false" outlineLevel="0" collapsed="false">
      <c r="B120" s="12" t="str">
        <f aca="false">B119</f>
        <v>Current taxes</v>
      </c>
      <c r="C120" s="12" t="s">
        <v>135</v>
      </c>
      <c r="D120" s="12" t="s">
        <v>135</v>
      </c>
      <c r="E120" s="13" t="n">
        <f aca="false">+E119</f>
        <v>496748.7</v>
      </c>
      <c r="F120" s="12" t="n">
        <f aca="false">F119</f>
        <v>2091200000</v>
      </c>
    </row>
    <row r="121" customFormat="false" ht="11.45" hidden="false" customHeight="false" outlineLevel="0" collapsed="false">
      <c r="B121" s="12" t="s">
        <v>128</v>
      </c>
      <c r="C121" s="12" t="n">
        <v>111101</v>
      </c>
      <c r="D121" s="12" t="s">
        <v>38</v>
      </c>
      <c r="E121" s="13" t="n">
        <v>480872.96</v>
      </c>
      <c r="F121" s="12" t="n">
        <v>2091200001</v>
      </c>
    </row>
    <row r="122" customFormat="false" ht="11.45" hidden="false" customHeight="false" outlineLevel="0" collapsed="false">
      <c r="B122" s="12" t="str">
        <f aca="false">B121</f>
        <v>Regional taxes</v>
      </c>
      <c r="C122" s="12" t="s">
        <v>135</v>
      </c>
      <c r="D122" s="12" t="s">
        <v>135</v>
      </c>
      <c r="E122" s="13" t="n">
        <f aca="false">E121</f>
        <v>480872.96</v>
      </c>
      <c r="F122" s="12" t="n">
        <f aca="false">F121</f>
        <v>2091200001</v>
      </c>
    </row>
    <row r="123" customFormat="false" ht="11.45" hidden="false" customHeight="false" outlineLevel="0" collapsed="false">
      <c r="B123" s="12" t="s">
        <v>162</v>
      </c>
      <c r="C123" s="12" t="n">
        <v>111101</v>
      </c>
      <c r="D123" s="12" t="s">
        <v>38</v>
      </c>
      <c r="E123" s="13" t="n">
        <v>0</v>
      </c>
      <c r="F123" s="12" t="n">
        <v>2091900000</v>
      </c>
    </row>
    <row r="124" customFormat="false" ht="11.45" hidden="false" customHeight="false" outlineLevel="0" collapsed="false">
      <c r="B124" s="12" t="str">
        <f aca="false">B123</f>
        <v>Quarterly changes in current taxes</v>
      </c>
      <c r="C124" s="12" t="s">
        <v>135</v>
      </c>
      <c r="D124" s="12" t="s">
        <v>135</v>
      </c>
      <c r="E124" s="13" t="n">
        <f aca="false">E123</f>
        <v>0</v>
      </c>
      <c r="F124" s="12" t="n">
        <f aca="false">F123</f>
        <v>2091900000</v>
      </c>
    </row>
    <row r="125" customFormat="false" ht="11.45" hidden="false" customHeight="false" outlineLevel="0" collapsed="false">
      <c r="B125" s="12" t="s">
        <v>130</v>
      </c>
      <c r="C125" s="12" t="n">
        <v>111101</v>
      </c>
      <c r="D125" s="12" t="s">
        <v>38</v>
      </c>
      <c r="E125" s="13" t="n">
        <v>6570.305</v>
      </c>
      <c r="F125" s="12" t="n">
        <v>2092200000</v>
      </c>
    </row>
    <row r="126" customFormat="false" ht="11.45" hidden="false" customHeight="false" outlineLevel="0" collapsed="false">
      <c r="B126" s="12" t="str">
        <f aca="false">B125</f>
        <v>Deferred taxes</v>
      </c>
      <c r="C126" s="12" t="s">
        <v>135</v>
      </c>
      <c r="D126" s="12" t="s">
        <v>135</v>
      </c>
      <c r="E126" s="13" t="n">
        <f aca="false">E125</f>
        <v>6570.305</v>
      </c>
      <c r="F126" s="12" t="n">
        <f aca="false">F125</f>
        <v>2092200000</v>
      </c>
    </row>
    <row r="127" customFormat="false" ht="11.45" hidden="false" customHeight="false" outlineLevel="0" collapsed="false">
      <c r="B127" s="15" t="s">
        <v>132</v>
      </c>
      <c r="C127" s="15" t="n">
        <v>111101</v>
      </c>
      <c r="D127" s="15" t="s">
        <v>38</v>
      </c>
      <c r="E127" s="16" t="n">
        <v>6073808.16</v>
      </c>
      <c r="F127" s="15" t="n">
        <v>2111111999</v>
      </c>
    </row>
    <row r="128" customFormat="false" ht="11.45" hidden="false" customHeight="false" outlineLevel="0" collapsed="false">
      <c r="C128" s="12"/>
    </row>
    <row r="129" customFormat="false" ht="11.45" hidden="false" customHeight="false" outlineLevel="0" collapsed="false">
      <c r="C129" s="12"/>
    </row>
    <row r="130" customFormat="false" ht="11.45" hidden="false" customHeight="false" outlineLevel="0" collapsed="false">
      <c r="C130" s="12"/>
    </row>
    <row r="131" customFormat="false" ht="11.45" hidden="false" customHeight="false" outlineLevel="0" collapsed="false">
      <c r="C131" s="12"/>
    </row>
    <row r="132" customFormat="false" ht="11.45" hidden="false" customHeight="false" outlineLevel="0" collapsed="false">
      <c r="C132" s="12"/>
    </row>
    <row r="133" customFormat="false" ht="11.45" hidden="false" customHeight="false" outlineLevel="0" collapsed="false">
      <c r="C133" s="12"/>
    </row>
    <row r="134" customFormat="false" ht="11.45" hidden="false" customHeight="false" outlineLevel="0" collapsed="false">
      <c r="C134" s="12"/>
    </row>
    <row r="135" customFormat="false" ht="11.45" hidden="false" customHeight="false" outlineLevel="0" collapsed="false">
      <c r="C135" s="12"/>
    </row>
    <row r="136" customFormat="false" ht="11.45" hidden="false" customHeight="false" outlineLevel="0" collapsed="false">
      <c r="C136" s="12"/>
    </row>
    <row r="137" customFormat="false" ht="11.45" hidden="false" customHeight="false" outlineLevel="0" collapsed="false">
      <c r="C137" s="12"/>
    </row>
    <row r="138" customFormat="false" ht="11.45" hidden="false" customHeight="false" outlineLevel="0" collapsed="false">
      <c r="C138" s="12"/>
    </row>
    <row r="139" customFormat="false" ht="11.45" hidden="false" customHeight="false" outlineLevel="0" collapsed="false">
      <c r="C139" s="12"/>
    </row>
    <row r="140" customFormat="false" ht="11.45" hidden="false" customHeight="false" outlineLevel="0" collapsed="false">
      <c r="C140" s="12"/>
    </row>
    <row r="141" customFormat="false" ht="11.45" hidden="false" customHeight="false" outlineLevel="0" collapsed="false">
      <c r="C141" s="12"/>
    </row>
    <row r="142" customFormat="false" ht="11.45" hidden="false" customHeight="false" outlineLevel="0" collapsed="false">
      <c r="C142" s="12"/>
    </row>
    <row r="143" customFormat="false" ht="11.45" hidden="false" customHeight="false" outlineLevel="0" collapsed="false">
      <c r="C143" s="12"/>
    </row>
    <row r="144" customFormat="false" ht="11.45" hidden="false" customHeight="false" outlineLevel="0" collapsed="false">
      <c r="C144" s="12"/>
    </row>
    <row r="145" customFormat="false" ht="11.45" hidden="false" customHeight="false" outlineLevel="0" collapsed="false">
      <c r="C145" s="12"/>
    </row>
    <row r="146" customFormat="false" ht="11.45" hidden="false" customHeight="false" outlineLevel="0" collapsed="false">
      <c r="C146" s="12"/>
    </row>
    <row r="147" customFormat="false" ht="11.45" hidden="false" customHeight="false" outlineLevel="0" collapsed="false">
      <c r="C147" s="12"/>
    </row>
    <row r="148" customFormat="false" ht="11.45" hidden="false" customHeight="false" outlineLevel="0" collapsed="false">
      <c r="C148" s="12"/>
    </row>
    <row r="149" customFormat="false" ht="11.45" hidden="false" customHeight="false" outlineLevel="0" collapsed="false">
      <c r="C149" s="12"/>
    </row>
    <row r="150" customFormat="false" ht="11.45" hidden="false" customHeight="false" outlineLevel="0" collapsed="false">
      <c r="C150" s="12"/>
    </row>
    <row r="151" customFormat="false" ht="11.45" hidden="false" customHeight="false" outlineLevel="0" collapsed="false">
      <c r="C151" s="12"/>
    </row>
    <row r="152" customFormat="false" ht="11.45" hidden="false" customHeight="false" outlineLevel="0" collapsed="false">
      <c r="C152" s="12"/>
    </row>
    <row r="153" customFormat="false" ht="11.45" hidden="false" customHeight="false" outlineLevel="0" collapsed="false">
      <c r="C153" s="12"/>
    </row>
    <row r="154" customFormat="false" ht="11.45" hidden="false" customHeight="false" outlineLevel="0" collapsed="false">
      <c r="C154" s="12"/>
    </row>
    <row r="155" customFormat="false" ht="11.45" hidden="false" customHeight="false" outlineLevel="0" collapsed="false">
      <c r="C155" s="12"/>
    </row>
    <row r="156" customFormat="false" ht="11.45" hidden="false" customHeight="false" outlineLevel="0" collapsed="false">
      <c r="C156" s="12"/>
    </row>
    <row r="157" customFormat="false" ht="11.45" hidden="false" customHeight="false" outlineLevel="0" collapsed="false">
      <c r="C157" s="12"/>
    </row>
    <row r="158" customFormat="false" ht="11.45" hidden="false" customHeight="false" outlineLevel="0" collapsed="false">
      <c r="C158" s="12"/>
    </row>
    <row r="159" customFormat="false" ht="11.45" hidden="false" customHeight="false" outlineLevel="0" collapsed="false">
      <c r="C159" s="12"/>
    </row>
    <row r="160" customFormat="false" ht="11.45" hidden="false" customHeight="false" outlineLevel="0" collapsed="false">
      <c r="C160" s="12"/>
    </row>
    <row r="161" customFormat="false" ht="11.45" hidden="false" customHeight="false" outlineLevel="0" collapsed="false">
      <c r="C161" s="12"/>
    </row>
    <row r="162" customFormat="false" ht="11.45" hidden="false" customHeight="false" outlineLevel="0" collapsed="false">
      <c r="C162" s="12"/>
    </row>
    <row r="163" customFormat="false" ht="11.45" hidden="false" customHeight="false" outlineLevel="0" collapsed="false">
      <c r="C163" s="12"/>
    </row>
    <row r="164" customFormat="false" ht="11.45" hidden="false" customHeight="false" outlineLevel="0" collapsed="false">
      <c r="C164" s="12"/>
    </row>
    <row r="165" customFormat="false" ht="11.45" hidden="false" customHeight="false" outlineLevel="0" collapsed="false">
      <c r="C165" s="12"/>
    </row>
    <row r="166" customFormat="false" ht="11.45" hidden="false" customHeight="false" outlineLevel="0" collapsed="false">
      <c r="C166" s="12"/>
    </row>
    <row r="167" customFormat="false" ht="11.45" hidden="false" customHeight="false" outlineLevel="0" collapsed="false">
      <c r="C167" s="12"/>
    </row>
    <row r="168" customFormat="false" ht="11.45" hidden="false" customHeight="false" outlineLevel="0" collapsed="false">
      <c r="C168" s="12"/>
    </row>
    <row r="169" customFormat="false" ht="11.45" hidden="false" customHeight="false" outlineLevel="0" collapsed="false">
      <c r="C169" s="12"/>
    </row>
    <row r="170" customFormat="false" ht="11.45" hidden="false" customHeight="false" outlineLevel="0" collapsed="false">
      <c r="C170" s="12"/>
    </row>
  </sheetData>
  <autoFilter ref="B4:F127"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F15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RowHeight="11.45" zeroHeight="false" outlineLevelRow="0" outlineLevelCol="0"/>
  <cols>
    <col collapsed="false" customWidth="true" hidden="false" outlineLevel="0" max="1" min="1" style="1" width="2"/>
    <col collapsed="false" customWidth="true" hidden="false" outlineLevel="0" max="2" min="2" style="1" width="29.57"/>
    <col collapsed="false" customWidth="true" hidden="false" outlineLevel="0" max="3" min="3" style="1" width="22.15"/>
    <col collapsed="false" customWidth="true" hidden="false" outlineLevel="0" max="4" min="4" style="1" width="30.86"/>
    <col collapsed="false" customWidth="true" hidden="false" outlineLevel="0" max="5" min="5" style="1" width="11.57"/>
    <col collapsed="false" customWidth="true" hidden="false" outlineLevel="0" max="6" min="6" style="1" width="12"/>
    <col collapsed="false" customWidth="true" hidden="false" outlineLevel="0" max="1025" min="7" style="1" width="9.14"/>
  </cols>
  <sheetData>
    <row r="1" customFormat="false" ht="15.6" hidden="false" customHeight="false" outlineLevel="0" collapsed="false">
      <c r="B1" s="2" t="s">
        <v>163</v>
      </c>
    </row>
    <row r="4" customFormat="false" ht="11.45" hidden="false" customHeight="false" outlineLevel="0" collapsed="false">
      <c r="C4" s="1" t="s">
        <v>134</v>
      </c>
      <c r="F4" s="1" t="s">
        <v>164</v>
      </c>
    </row>
    <row r="5" customFormat="false" ht="11.45" hidden="false" customHeight="false" outlineLevel="0" collapsed="false">
      <c r="B5" s="12" t="s">
        <v>26</v>
      </c>
      <c r="C5" s="12" t="n">
        <v>105</v>
      </c>
      <c r="D5" s="12" t="s">
        <v>107</v>
      </c>
      <c r="E5" s="19" t="n">
        <v>-616462.019</v>
      </c>
      <c r="F5" s="12" t="n">
        <v>2001110000</v>
      </c>
    </row>
    <row r="6" customFormat="false" ht="11.45" hidden="false" customHeight="false" outlineLevel="0" collapsed="false">
      <c r="B6" s="1" t="s">
        <v>26</v>
      </c>
      <c r="C6" s="12" t="n">
        <v>111111</v>
      </c>
      <c r="D6" s="1" t="s">
        <v>27</v>
      </c>
      <c r="E6" s="19" t="n">
        <v>-14431341</v>
      </c>
      <c r="F6" s="14" t="n">
        <v>2001110000</v>
      </c>
    </row>
    <row r="7" customFormat="false" ht="11.45" hidden="false" customHeight="false" outlineLevel="0" collapsed="false">
      <c r="B7" s="1" t="str">
        <f aca="false">B6</f>
        <v>Core business revenues</v>
      </c>
      <c r="C7" s="12" t="s">
        <v>135</v>
      </c>
      <c r="D7" s="1" t="s">
        <v>135</v>
      </c>
      <c r="E7" s="19" t="n">
        <f aca="false">+SUM(E5:E6)</f>
        <v>-15047803.019</v>
      </c>
      <c r="F7" s="14" t="n">
        <f aca="false">F6</f>
        <v>2001110000</v>
      </c>
    </row>
    <row r="8" customFormat="false" ht="11.45" hidden="false" customHeight="false" outlineLevel="0" collapsed="false">
      <c r="B8" s="12" t="s">
        <v>29</v>
      </c>
      <c r="C8" s="12" t="n">
        <v>111111</v>
      </c>
      <c r="D8" s="12" t="s">
        <v>27</v>
      </c>
      <c r="E8" s="13" t="n">
        <v>-6373617.514</v>
      </c>
      <c r="F8" s="12" t="n">
        <v>2001190000</v>
      </c>
    </row>
    <row r="9" customFormat="false" ht="11.45" hidden="false" customHeight="false" outlineLevel="0" collapsed="false">
      <c r="B9" s="1" t="str">
        <f aca="false">B8</f>
        <v>Other revenues</v>
      </c>
      <c r="C9" s="12" t="s">
        <v>135</v>
      </c>
      <c r="D9" s="1" t="s">
        <v>135</v>
      </c>
      <c r="E9" s="19" t="n">
        <f aca="false">E8</f>
        <v>-6373617.514</v>
      </c>
      <c r="F9" s="14" t="n">
        <f aca="false">F8</f>
        <v>2001190000</v>
      </c>
    </row>
    <row r="10" customFormat="false" ht="11.45" hidden="false" customHeight="false" outlineLevel="0" collapsed="false">
      <c r="B10" s="12" t="s">
        <v>165</v>
      </c>
      <c r="C10" s="12" t="n">
        <v>111111</v>
      </c>
      <c r="D10" s="12" t="s">
        <v>27</v>
      </c>
      <c r="E10" s="13" t="n">
        <v>20504.51</v>
      </c>
      <c r="F10" s="12" t="n">
        <v>2021210000</v>
      </c>
    </row>
    <row r="11" customFormat="false" ht="11.45" hidden="false" customHeight="false" outlineLevel="0" collapsed="false">
      <c r="B11" s="1" t="str">
        <f aca="false">B10</f>
        <v>Utility charges </v>
      </c>
      <c r="C11" s="12" t="s">
        <v>135</v>
      </c>
      <c r="D11" s="1" t="s">
        <v>135</v>
      </c>
      <c r="E11" s="19" t="n">
        <f aca="false">E10</f>
        <v>20504.51</v>
      </c>
      <c r="F11" s="14" t="n">
        <f aca="false">F10</f>
        <v>2021210000</v>
      </c>
    </row>
    <row r="12" customFormat="false" ht="11.45" hidden="false" customHeight="false" outlineLevel="0" collapsed="false">
      <c r="B12" s="12" t="s">
        <v>40</v>
      </c>
      <c r="C12" s="12" t="n">
        <v>111111</v>
      </c>
      <c r="D12" s="12" t="s">
        <v>27</v>
      </c>
      <c r="E12" s="13" t="n">
        <v>5674152.067</v>
      </c>
      <c r="F12" s="12" t="n">
        <v>2021900000</v>
      </c>
    </row>
    <row r="13" customFormat="false" ht="11.45" hidden="false" customHeight="false" outlineLevel="0" collapsed="false">
      <c r="B13" s="1" t="str">
        <f aca="false">B12</f>
        <v>Direct costs</v>
      </c>
      <c r="C13" s="12" t="s">
        <v>135</v>
      </c>
      <c r="D13" s="1" t="s">
        <v>135</v>
      </c>
      <c r="E13" s="19" t="n">
        <f aca="false">E12</f>
        <v>5674152.067</v>
      </c>
      <c r="F13" s="14" t="n">
        <f aca="false">F12</f>
        <v>2021900000</v>
      </c>
    </row>
    <row r="14" customFormat="false" ht="11.45" hidden="false" customHeight="false" outlineLevel="0" collapsed="false">
      <c r="B14" s="12" t="s">
        <v>166</v>
      </c>
      <c r="C14" s="12" t="n">
        <v>111111</v>
      </c>
      <c r="D14" s="12" t="s">
        <v>27</v>
      </c>
      <c r="E14" s="13" t="n">
        <v>13691.95</v>
      </c>
      <c r="F14" s="12" t="n">
        <v>2024020000</v>
      </c>
    </row>
    <row r="15" customFormat="false" ht="11.45" hidden="false" customHeight="false" outlineLevel="0" collapsed="false">
      <c r="B15" s="1" t="str">
        <f aca="false">B14</f>
        <v>Operating expenses for utilities</v>
      </c>
      <c r="C15" s="12" t="s">
        <v>135</v>
      </c>
      <c r="D15" s="1" t="s">
        <v>135</v>
      </c>
      <c r="E15" s="19" t="n">
        <f aca="false">E14</f>
        <v>13691.95</v>
      </c>
      <c r="F15" s="14" t="n">
        <f aca="false">F14</f>
        <v>2024020000</v>
      </c>
    </row>
    <row r="16" customFormat="false" ht="11.45" hidden="false" customHeight="false" outlineLevel="0" collapsed="false">
      <c r="B16" s="12" t="s">
        <v>42</v>
      </c>
      <c r="C16" s="12" t="n">
        <v>111111</v>
      </c>
      <c r="D16" s="12" t="s">
        <v>27</v>
      </c>
      <c r="E16" s="13" t="n">
        <v>350370.994</v>
      </c>
      <c r="F16" s="12" t="n">
        <v>2024080000</v>
      </c>
    </row>
    <row r="17" customFormat="false" ht="11.45" hidden="false" customHeight="false" outlineLevel="0" collapsed="false">
      <c r="B17" s="1" t="str">
        <f aca="false">B16</f>
        <v>Freight outbound expenses</v>
      </c>
      <c r="C17" s="12" t="s">
        <v>135</v>
      </c>
      <c r="D17" s="1" t="s">
        <v>135</v>
      </c>
      <c r="E17" s="19" t="n">
        <f aca="false">E16</f>
        <v>350370.994</v>
      </c>
      <c r="F17" s="14" t="n">
        <f aca="false">F16</f>
        <v>2024080000</v>
      </c>
    </row>
    <row r="18" customFormat="false" ht="11.45" hidden="false" customHeight="false" outlineLevel="0" collapsed="false">
      <c r="B18" s="12" t="s">
        <v>44</v>
      </c>
      <c r="C18" s="12" t="n">
        <v>88</v>
      </c>
      <c r="D18" s="12" t="s">
        <v>45</v>
      </c>
      <c r="E18" s="13" t="n">
        <v>3116017.154</v>
      </c>
      <c r="F18" s="12" t="n">
        <v>2024090000</v>
      </c>
    </row>
    <row r="19" customFormat="false" ht="11.45" hidden="false" customHeight="false" outlineLevel="0" collapsed="false">
      <c r="B19" s="12" t="s">
        <v>44</v>
      </c>
      <c r="C19" s="12" t="s">
        <v>139</v>
      </c>
      <c r="D19" s="12" t="s">
        <v>140</v>
      </c>
      <c r="E19" s="13" t="n">
        <v>0</v>
      </c>
      <c r="F19" s="12" t="n">
        <v>2024090000</v>
      </c>
    </row>
    <row r="20" customFormat="false" ht="11.45" hidden="false" customHeight="false" outlineLevel="0" collapsed="false">
      <c r="B20" s="12" t="s">
        <v>44</v>
      </c>
      <c r="C20" s="12" t="s">
        <v>141</v>
      </c>
      <c r="D20" s="12" t="s">
        <v>142</v>
      </c>
      <c r="E20" s="13" t="n">
        <v>673.343</v>
      </c>
      <c r="F20" s="12" t="n">
        <v>2024090000</v>
      </c>
    </row>
    <row r="21" customFormat="false" ht="11.45" hidden="false" customHeight="false" outlineLevel="0" collapsed="false">
      <c r="B21" s="12" t="s">
        <v>44</v>
      </c>
      <c r="C21" s="12" t="s">
        <v>167</v>
      </c>
      <c r="D21" s="12" t="s">
        <v>168</v>
      </c>
      <c r="E21" s="13" t="n">
        <v>192017.145</v>
      </c>
      <c r="F21" s="12" t="n">
        <v>2024090000</v>
      </c>
    </row>
    <row r="22" customFormat="false" ht="11.45" hidden="false" customHeight="false" outlineLevel="0" collapsed="false">
      <c r="B22" s="12" t="s">
        <v>44</v>
      </c>
      <c r="C22" s="12" t="s">
        <v>88</v>
      </c>
      <c r="D22" s="12" t="s">
        <v>89</v>
      </c>
      <c r="E22" s="13" t="n">
        <v>375290.466</v>
      </c>
      <c r="F22" s="12" t="n">
        <v>2024090000</v>
      </c>
    </row>
    <row r="23" customFormat="false" ht="11.45" hidden="false" customHeight="false" outlineLevel="0" collapsed="false">
      <c r="B23" s="12" t="s">
        <v>44</v>
      </c>
      <c r="C23" s="12" t="n">
        <v>17000</v>
      </c>
      <c r="D23" s="12" t="s">
        <v>169</v>
      </c>
      <c r="E23" s="13" t="n">
        <v>4920</v>
      </c>
      <c r="F23" s="12" t="n">
        <v>2024090000</v>
      </c>
    </row>
    <row r="24" customFormat="false" ht="11.45" hidden="false" customHeight="false" outlineLevel="0" collapsed="false">
      <c r="B24" s="12" t="s">
        <v>44</v>
      </c>
      <c r="C24" s="12" t="n">
        <v>111111</v>
      </c>
      <c r="D24" s="12" t="s">
        <v>27</v>
      </c>
      <c r="E24" s="13" t="n">
        <v>9783.707</v>
      </c>
      <c r="F24" s="12" t="n">
        <v>2024090000</v>
      </c>
    </row>
    <row r="25" customFormat="false" ht="11.45" hidden="false" customHeight="false" outlineLevel="0" collapsed="false">
      <c r="B25" s="1" t="str">
        <f aca="false">B24</f>
        <v>R&amp;D expenses</v>
      </c>
      <c r="C25" s="12" t="s">
        <v>135</v>
      </c>
      <c r="D25" s="1" t="s">
        <v>135</v>
      </c>
      <c r="E25" s="19" t="n">
        <f aca="false">+SUM(E18:E24)</f>
        <v>3698701.815</v>
      </c>
      <c r="F25" s="14" t="n">
        <f aca="false">F24</f>
        <v>2024090000</v>
      </c>
    </row>
    <row r="26" customFormat="false" ht="11.45" hidden="false" customHeight="false" outlineLevel="0" collapsed="false">
      <c r="B26" s="12" t="s">
        <v>48</v>
      </c>
      <c r="C26" s="12" t="n">
        <v>111111</v>
      </c>
      <c r="D26" s="12" t="s">
        <v>27</v>
      </c>
      <c r="E26" s="13" t="n">
        <v>3982699.533</v>
      </c>
      <c r="F26" s="12" t="n">
        <v>2041000000</v>
      </c>
    </row>
    <row r="27" customFormat="false" ht="11.45" hidden="false" customHeight="false" outlineLevel="0" collapsed="false">
      <c r="B27" s="1" t="str">
        <f aca="false">B26</f>
        <v>Wages and salaries</v>
      </c>
      <c r="C27" s="12" t="s">
        <v>135</v>
      </c>
      <c r="D27" s="1" t="s">
        <v>135</v>
      </c>
      <c r="E27" s="19" t="n">
        <f aca="false">E26</f>
        <v>3982699.533</v>
      </c>
      <c r="F27" s="14" t="n">
        <f aca="false">F26</f>
        <v>2041000000</v>
      </c>
    </row>
    <row r="28" customFormat="false" ht="11.45" hidden="false" customHeight="false" outlineLevel="0" collapsed="false">
      <c r="B28" s="12" t="s">
        <v>145</v>
      </c>
      <c r="C28" s="12" t="n">
        <v>111101</v>
      </c>
      <c r="D28" s="12" t="s">
        <v>38</v>
      </c>
      <c r="E28" s="13" t="n">
        <v>1420796.821</v>
      </c>
      <c r="F28" s="12" t="n">
        <v>2042000000</v>
      </c>
    </row>
    <row r="29" customFormat="false" ht="11.45" hidden="false" customHeight="false" outlineLevel="0" collapsed="false">
      <c r="B29" s="12" t="s">
        <v>50</v>
      </c>
      <c r="C29" s="12" t="n">
        <v>111101</v>
      </c>
      <c r="D29" s="12" t="s">
        <v>38</v>
      </c>
      <c r="E29" s="13" t="n">
        <v>288891.822</v>
      </c>
      <c r="F29" s="12" t="n">
        <v>2042000000</v>
      </c>
    </row>
    <row r="30" customFormat="false" ht="11.45" hidden="false" customHeight="false" outlineLevel="0" collapsed="false">
      <c r="B30" s="1" t="str">
        <f aca="false">B29</f>
        <v>Pension contributions</v>
      </c>
      <c r="C30" s="12" t="s">
        <v>135</v>
      </c>
      <c r="D30" s="1" t="s">
        <v>135</v>
      </c>
      <c r="E30" s="19" t="n">
        <f aca="false">+SUM(E28:E29)</f>
        <v>1709688.643</v>
      </c>
      <c r="F30" s="14" t="n">
        <f aca="false">F29</f>
        <v>2042000000</v>
      </c>
    </row>
    <row r="31" customFormat="false" ht="11.45" hidden="false" customHeight="false" outlineLevel="0" collapsed="false">
      <c r="B31" s="12" t="s">
        <v>53</v>
      </c>
      <c r="C31" s="12" t="n">
        <v>111101</v>
      </c>
      <c r="D31" s="12" t="s">
        <v>38</v>
      </c>
      <c r="E31" s="13" t="n">
        <v>143500</v>
      </c>
      <c r="F31" s="12" t="n">
        <v>2045000000</v>
      </c>
    </row>
    <row r="32" customFormat="false" ht="11.45" hidden="false" customHeight="false" outlineLevel="0" collapsed="false">
      <c r="B32" s="1" t="str">
        <f aca="false">B31</f>
        <v>Severance indemnity contribution</v>
      </c>
      <c r="C32" s="12" t="s">
        <v>135</v>
      </c>
      <c r="D32" s="1" t="s">
        <v>135</v>
      </c>
      <c r="E32" s="19" t="n">
        <f aca="false">E31</f>
        <v>143500</v>
      </c>
      <c r="F32" s="14" t="n">
        <f aca="false">F31</f>
        <v>2045000000</v>
      </c>
    </row>
    <row r="33" customFormat="false" ht="11.45" hidden="false" customHeight="false" outlineLevel="0" collapsed="false">
      <c r="B33" s="12" t="s">
        <v>55</v>
      </c>
      <c r="C33" s="12" t="n">
        <v>111101</v>
      </c>
      <c r="D33" s="12" t="s">
        <v>38</v>
      </c>
      <c r="E33" s="13" t="n">
        <v>1875768.159</v>
      </c>
      <c r="F33" s="12" t="n">
        <v>2051210000</v>
      </c>
    </row>
    <row r="34" customFormat="false" ht="11.45" hidden="false" customHeight="false" outlineLevel="0" collapsed="false">
      <c r="B34" s="1" t="str">
        <f aca="false">B33</f>
        <v>D&amp;A</v>
      </c>
      <c r="C34" s="12" t="s">
        <v>135</v>
      </c>
      <c r="D34" s="1" t="s">
        <v>135</v>
      </c>
      <c r="E34" s="19" t="n">
        <f aca="false">E33</f>
        <v>1875768.159</v>
      </c>
      <c r="F34" s="14" t="n">
        <f aca="false">F33</f>
        <v>2051210000</v>
      </c>
    </row>
    <row r="35" customFormat="false" ht="11.45" hidden="false" customHeight="false" outlineLevel="0" collapsed="false">
      <c r="B35" s="12" t="s">
        <v>55</v>
      </c>
      <c r="C35" s="12" t="n">
        <v>111101</v>
      </c>
      <c r="D35" s="12" t="s">
        <v>38</v>
      </c>
      <c r="E35" s="13" t="n">
        <v>12593.355</v>
      </c>
      <c r="F35" s="12" t="n">
        <v>2051260000</v>
      </c>
    </row>
    <row r="36" customFormat="false" ht="11.45" hidden="false" customHeight="false" outlineLevel="0" collapsed="false">
      <c r="B36" s="1" t="str">
        <f aca="false">B35</f>
        <v>D&amp;A</v>
      </c>
      <c r="C36" s="12" t="s">
        <v>135</v>
      </c>
      <c r="D36" s="1" t="s">
        <v>135</v>
      </c>
      <c r="E36" s="19" t="n">
        <f aca="false">E35</f>
        <v>12593.355</v>
      </c>
      <c r="F36" s="14" t="n">
        <f aca="false">F35</f>
        <v>2051260000</v>
      </c>
    </row>
    <row r="37" customFormat="false" ht="11.45" hidden="false" customHeight="false" outlineLevel="0" collapsed="false">
      <c r="B37" s="12" t="s">
        <v>158</v>
      </c>
      <c r="C37" s="12" t="s">
        <v>155</v>
      </c>
      <c r="D37" s="12" t="s">
        <v>156</v>
      </c>
      <c r="E37" s="13" t="n">
        <v>0</v>
      </c>
      <c r="F37" s="12" t="n">
        <v>2060441000</v>
      </c>
    </row>
    <row r="38" customFormat="false" ht="11.45" hidden="false" customHeight="false" outlineLevel="0" collapsed="false">
      <c r="B38" s="12" t="s">
        <v>158</v>
      </c>
      <c r="C38" s="12" t="n">
        <v>111111</v>
      </c>
      <c r="D38" s="12" t="s">
        <v>27</v>
      </c>
      <c r="E38" s="13" t="n">
        <v>-1252.837</v>
      </c>
      <c r="F38" s="12" t="n">
        <v>2060441000</v>
      </c>
    </row>
    <row r="39" customFormat="false" ht="11.45" hidden="false" customHeight="false" outlineLevel="0" collapsed="false">
      <c r="B39" s="1" t="str">
        <f aca="false">B38</f>
        <v>Other operative currency differences</v>
      </c>
      <c r="C39" s="12" t="s">
        <v>135</v>
      </c>
      <c r="D39" s="1" t="s">
        <v>135</v>
      </c>
      <c r="E39" s="19" t="n">
        <f aca="false">E38+E37</f>
        <v>-1252.837</v>
      </c>
      <c r="F39" s="14" t="n">
        <f aca="false">F38</f>
        <v>2060441000</v>
      </c>
    </row>
    <row r="40" customFormat="false" ht="11.45" hidden="false" customHeight="false" outlineLevel="0" collapsed="false">
      <c r="B40" s="12" t="s">
        <v>58</v>
      </c>
      <c r="C40" s="12" t="s">
        <v>59</v>
      </c>
      <c r="D40" s="12" t="s">
        <v>60</v>
      </c>
      <c r="E40" s="13" t="n">
        <v>-1418521.358</v>
      </c>
      <c r="F40" s="12" t="n">
        <v>2069010000</v>
      </c>
    </row>
    <row r="41" customFormat="false" ht="11.45" hidden="false" customHeight="false" outlineLevel="0" collapsed="false">
      <c r="B41" s="12" t="s">
        <v>58</v>
      </c>
      <c r="C41" s="12" t="n">
        <v>19</v>
      </c>
      <c r="D41" s="12" t="s">
        <v>62</v>
      </c>
      <c r="E41" s="13" t="n">
        <v>-622966.386</v>
      </c>
      <c r="F41" s="12" t="n">
        <v>2069010000</v>
      </c>
    </row>
    <row r="42" customFormat="false" ht="11.45" hidden="false" customHeight="false" outlineLevel="0" collapsed="false">
      <c r="B42" s="12" t="s">
        <v>58</v>
      </c>
      <c r="C42" s="12" t="s">
        <v>148</v>
      </c>
      <c r="D42" s="12" t="s">
        <v>149</v>
      </c>
      <c r="E42" s="13" t="n">
        <v>0</v>
      </c>
      <c r="F42" s="12" t="n">
        <v>2069010000</v>
      </c>
    </row>
    <row r="43" customFormat="false" ht="11.45" hidden="false" customHeight="false" outlineLevel="0" collapsed="false">
      <c r="B43" s="12" t="s">
        <v>58</v>
      </c>
      <c r="C43" s="12" t="s">
        <v>136</v>
      </c>
      <c r="D43" s="12" t="s">
        <v>137</v>
      </c>
      <c r="E43" s="13" t="n">
        <v>0</v>
      </c>
      <c r="F43" s="12" t="n">
        <v>2069010000</v>
      </c>
    </row>
    <row r="44" customFormat="false" ht="11.45" hidden="false" customHeight="false" outlineLevel="0" collapsed="false">
      <c r="B44" s="12" t="s">
        <v>58</v>
      </c>
      <c r="C44" s="12" t="n">
        <v>1009</v>
      </c>
      <c r="D44" s="12" t="s">
        <v>32</v>
      </c>
      <c r="E44" s="13" t="n">
        <v>0</v>
      </c>
      <c r="F44" s="12" t="n">
        <v>2069010000</v>
      </c>
    </row>
    <row r="45" customFormat="false" ht="11.45" hidden="false" customHeight="false" outlineLevel="0" collapsed="false">
      <c r="B45" s="12" t="s">
        <v>58</v>
      </c>
      <c r="C45" s="12" t="n">
        <v>1007</v>
      </c>
      <c r="D45" s="12" t="s">
        <v>34</v>
      </c>
      <c r="E45" s="13" t="n">
        <v>0</v>
      </c>
      <c r="F45" s="12" t="n">
        <v>2069010000</v>
      </c>
    </row>
    <row r="46" customFormat="false" ht="11.45" hidden="false" customHeight="false" outlineLevel="0" collapsed="false">
      <c r="B46" s="12" t="s">
        <v>58</v>
      </c>
      <c r="C46" s="12" t="n">
        <v>1008</v>
      </c>
      <c r="D46" s="12" t="s">
        <v>36</v>
      </c>
      <c r="E46" s="13" t="n">
        <v>0</v>
      </c>
      <c r="F46" s="12" t="n">
        <v>2069010000</v>
      </c>
    </row>
    <row r="47" customFormat="false" ht="11.45" hidden="false" customHeight="false" outlineLevel="0" collapsed="false">
      <c r="B47" s="12" t="s">
        <v>58</v>
      </c>
      <c r="C47" s="12" t="n">
        <v>1240</v>
      </c>
      <c r="D47" s="12" t="s">
        <v>72</v>
      </c>
      <c r="E47" s="13" t="n">
        <v>0</v>
      </c>
      <c r="F47" s="12" t="n">
        <v>2069010000</v>
      </c>
    </row>
    <row r="48" customFormat="false" ht="11.45" hidden="false" customHeight="false" outlineLevel="0" collapsed="false">
      <c r="B48" s="12" t="s">
        <v>58</v>
      </c>
      <c r="C48" s="12" t="n">
        <v>1006</v>
      </c>
      <c r="D48" s="12" t="s">
        <v>160</v>
      </c>
      <c r="E48" s="13" t="n">
        <v>0</v>
      </c>
      <c r="F48" s="12" t="n">
        <v>2069010000</v>
      </c>
    </row>
    <row r="49" customFormat="false" ht="11.45" hidden="false" customHeight="false" outlineLevel="0" collapsed="false">
      <c r="B49" s="12" t="s">
        <v>58</v>
      </c>
      <c r="C49" s="12" t="n">
        <v>1007</v>
      </c>
      <c r="D49" s="12" t="s">
        <v>150</v>
      </c>
      <c r="E49" s="13" t="n">
        <v>0</v>
      </c>
      <c r="F49" s="12" t="n">
        <v>2069010000</v>
      </c>
    </row>
    <row r="50" customFormat="false" ht="11.45" hidden="false" customHeight="false" outlineLevel="0" collapsed="false">
      <c r="B50" s="12" t="s">
        <v>58</v>
      </c>
      <c r="C50" s="12" t="s">
        <v>151</v>
      </c>
      <c r="D50" s="12" t="s">
        <v>152</v>
      </c>
      <c r="E50" s="13" t="n">
        <v>-1948832.143</v>
      </c>
      <c r="F50" s="12" t="n">
        <v>2069010000</v>
      </c>
    </row>
    <row r="51" customFormat="false" ht="11.45" hidden="false" customHeight="false" outlineLevel="0" collapsed="false">
      <c r="B51" s="12" t="s">
        <v>58</v>
      </c>
      <c r="C51" s="12" t="n">
        <v>111111</v>
      </c>
      <c r="D51" s="12" t="s">
        <v>27</v>
      </c>
      <c r="E51" s="13" t="n">
        <v>-902857.843</v>
      </c>
      <c r="F51" s="12" t="n">
        <v>2069010000</v>
      </c>
    </row>
    <row r="52" customFormat="false" ht="11.45" hidden="false" customHeight="false" outlineLevel="0" collapsed="false">
      <c r="B52" s="1" t="str">
        <f aca="false">B51</f>
        <v>Corporate recharges</v>
      </c>
      <c r="C52" s="12" t="s">
        <v>135</v>
      </c>
      <c r="D52" s="1" t="s">
        <v>135</v>
      </c>
      <c r="E52" s="19" t="n">
        <f aca="false">+E50+E51+E41+E40</f>
        <v>-4893177.73</v>
      </c>
      <c r="F52" s="14" t="n">
        <f aca="false">F51</f>
        <v>2069010000</v>
      </c>
    </row>
    <row r="53" customFormat="false" ht="11.45" hidden="false" customHeight="false" outlineLevel="0" collapsed="false">
      <c r="B53" s="12" t="s">
        <v>170</v>
      </c>
      <c r="C53" s="12" t="n">
        <v>111111</v>
      </c>
      <c r="D53" s="12" t="s">
        <v>27</v>
      </c>
      <c r="E53" s="13" t="n">
        <v>-61500</v>
      </c>
      <c r="F53" s="12" t="n">
        <v>2069020000</v>
      </c>
    </row>
    <row r="54" customFormat="false" ht="11.45" hidden="false" customHeight="false" outlineLevel="0" collapsed="false">
      <c r="B54" s="1" t="str">
        <f aca="false">B53</f>
        <v>Reimbursements+compensation for damages</v>
      </c>
      <c r="C54" s="12" t="s">
        <v>135</v>
      </c>
      <c r="D54" s="1" t="s">
        <v>135</v>
      </c>
      <c r="E54" s="19" t="n">
        <f aca="false">+E53</f>
        <v>-61500</v>
      </c>
      <c r="F54" s="14" t="n">
        <f aca="false">F53</f>
        <v>2069020000</v>
      </c>
    </row>
    <row r="55" customFormat="false" ht="11.45" hidden="false" customHeight="false" outlineLevel="0" collapsed="false">
      <c r="B55" s="12" t="s">
        <v>75</v>
      </c>
      <c r="C55" s="12" t="n">
        <v>105</v>
      </c>
      <c r="D55" s="12" t="s">
        <v>107</v>
      </c>
      <c r="E55" s="13" t="n">
        <v>-30913.426</v>
      </c>
      <c r="F55" s="12" t="n">
        <v>2069980000</v>
      </c>
    </row>
    <row r="56" customFormat="false" ht="11.45" hidden="false" customHeight="false" outlineLevel="0" collapsed="false">
      <c r="B56" s="12" t="s">
        <v>75</v>
      </c>
      <c r="C56" s="12" t="n">
        <v>111111</v>
      </c>
      <c r="D56" s="12" t="s">
        <v>27</v>
      </c>
      <c r="E56" s="13" t="n">
        <v>-15872.002</v>
      </c>
      <c r="F56" s="12" t="n">
        <v>2069980000</v>
      </c>
    </row>
    <row r="57" customFormat="false" ht="11.45" hidden="false" customHeight="false" outlineLevel="0" collapsed="false">
      <c r="B57" s="1" t="str">
        <f aca="false">B56</f>
        <v>Other income</v>
      </c>
      <c r="C57" s="12" t="s">
        <v>135</v>
      </c>
      <c r="D57" s="1" t="s">
        <v>135</v>
      </c>
      <c r="E57" s="19" t="n">
        <f aca="false">+SUM(E55:E56)</f>
        <v>-46785.428</v>
      </c>
      <c r="F57" s="14" t="n">
        <f aca="false">F56</f>
        <v>2069980000</v>
      </c>
    </row>
    <row r="58" customFormat="false" ht="11.45" hidden="false" customHeight="false" outlineLevel="0" collapsed="false">
      <c r="B58" s="12" t="s">
        <v>77</v>
      </c>
      <c r="C58" s="12" t="n">
        <v>111111</v>
      </c>
      <c r="D58" s="12" t="s">
        <v>27</v>
      </c>
      <c r="E58" s="13" t="n">
        <v>57.318</v>
      </c>
      <c r="F58" s="12" t="n">
        <v>2070400000</v>
      </c>
    </row>
    <row r="59" customFormat="false" ht="11.45" hidden="false" customHeight="false" outlineLevel="0" collapsed="false">
      <c r="B59" s="1" t="str">
        <f aca="false">B58</f>
        <v>Marketing expenses</v>
      </c>
      <c r="C59" s="12" t="s">
        <v>135</v>
      </c>
      <c r="D59" s="1" t="s">
        <v>135</v>
      </c>
      <c r="E59" s="19" t="n">
        <f aca="false">E58</f>
        <v>57.318</v>
      </c>
      <c r="F59" s="14" t="n">
        <f aca="false">F58</f>
        <v>2070400000</v>
      </c>
    </row>
    <row r="60" customFormat="false" ht="11.45" hidden="false" customHeight="false" outlineLevel="0" collapsed="false">
      <c r="B60" s="12" t="s">
        <v>79</v>
      </c>
      <c r="C60" s="12" t="n">
        <v>111111</v>
      </c>
      <c r="D60" s="12" t="s">
        <v>27</v>
      </c>
      <c r="E60" s="13" t="n">
        <v>19198.66</v>
      </c>
      <c r="F60" s="12" t="n">
        <v>2070500000</v>
      </c>
    </row>
    <row r="61" customFormat="false" ht="11.45" hidden="false" customHeight="false" outlineLevel="0" collapsed="false">
      <c r="B61" s="1" t="str">
        <f aca="false">B60</f>
        <v>Software&amp;IT</v>
      </c>
      <c r="C61" s="12" t="s">
        <v>135</v>
      </c>
      <c r="D61" s="1" t="s">
        <v>135</v>
      </c>
      <c r="E61" s="19" t="n">
        <f aca="false">E60</f>
        <v>19198.66</v>
      </c>
      <c r="F61" s="14" t="n">
        <f aca="false">F60</f>
        <v>2070500000</v>
      </c>
    </row>
    <row r="62" customFormat="false" ht="11.45" hidden="false" customHeight="false" outlineLevel="0" collapsed="false">
      <c r="B62" s="12" t="s">
        <v>82</v>
      </c>
      <c r="C62" s="12" t="n">
        <v>105</v>
      </c>
      <c r="D62" s="12" t="s">
        <v>107</v>
      </c>
      <c r="E62" s="13" t="n">
        <v>-1423120</v>
      </c>
      <c r="F62" s="12" t="n">
        <v>2070600000</v>
      </c>
    </row>
    <row r="63" customFormat="false" ht="11.45" hidden="false" customHeight="false" outlineLevel="0" collapsed="false">
      <c r="B63" s="12" t="s">
        <v>82</v>
      </c>
      <c r="C63" s="12" t="n">
        <v>111111</v>
      </c>
      <c r="D63" s="12" t="s">
        <v>27</v>
      </c>
      <c r="E63" s="13" t="n">
        <v>-172933.449</v>
      </c>
      <c r="F63" s="12" t="n">
        <v>2070600000</v>
      </c>
    </row>
    <row r="64" customFormat="false" ht="11.45" hidden="false" customHeight="false" outlineLevel="0" collapsed="false">
      <c r="B64" s="1" t="str">
        <f aca="false">B63</f>
        <v>Leasings</v>
      </c>
      <c r="C64" s="12" t="s">
        <v>135</v>
      </c>
      <c r="D64" s="1" t="s">
        <v>135</v>
      </c>
      <c r="E64" s="19" t="n">
        <f aca="false">E62+E63</f>
        <v>-1596053.449</v>
      </c>
      <c r="F64" s="14" t="n">
        <f aca="false">F63</f>
        <v>2070600000</v>
      </c>
    </row>
    <row r="65" customFormat="false" ht="11.45" hidden="false" customHeight="false" outlineLevel="0" collapsed="false">
      <c r="B65" s="12" t="s">
        <v>84</v>
      </c>
      <c r="C65" s="12" t="n">
        <v>105</v>
      </c>
      <c r="D65" s="12" t="s">
        <v>107</v>
      </c>
      <c r="E65" s="13" t="n">
        <v>473575.461</v>
      </c>
      <c r="F65" s="12" t="n">
        <v>2070900000</v>
      </c>
    </row>
    <row r="66" customFormat="false" ht="11.45" hidden="false" customHeight="false" outlineLevel="0" collapsed="false">
      <c r="B66" s="12" t="s">
        <v>84</v>
      </c>
      <c r="C66" s="12" t="n">
        <v>111111</v>
      </c>
      <c r="D66" s="12" t="s">
        <v>27</v>
      </c>
      <c r="E66" s="13" t="n">
        <v>1481408.47</v>
      </c>
      <c r="F66" s="12" t="n">
        <v>2070900000</v>
      </c>
    </row>
    <row r="67" customFormat="false" ht="11.45" hidden="false" customHeight="false" outlineLevel="0" collapsed="false">
      <c r="B67" s="1" t="str">
        <f aca="false">B66</f>
        <v>Service expenses</v>
      </c>
      <c r="C67" s="12" t="s">
        <v>135</v>
      </c>
      <c r="D67" s="1" t="s">
        <v>135</v>
      </c>
      <c r="E67" s="19" t="n">
        <f aca="false">+E65+E66</f>
        <v>1954983.931</v>
      </c>
      <c r="F67" s="14" t="n">
        <f aca="false">F66</f>
        <v>2070900000</v>
      </c>
    </row>
    <row r="68" customFormat="false" ht="11.45" hidden="false" customHeight="false" outlineLevel="0" collapsed="false">
      <c r="B68" s="12" t="s">
        <v>92</v>
      </c>
      <c r="C68" s="12" t="n">
        <v>111111</v>
      </c>
      <c r="D68" s="12" t="s">
        <v>27</v>
      </c>
      <c r="E68" s="13" t="n">
        <v>40048.8</v>
      </c>
      <c r="F68" s="12" t="n">
        <v>2071000000</v>
      </c>
    </row>
    <row r="69" customFormat="false" ht="11.45" hidden="false" customHeight="false" outlineLevel="0" collapsed="false">
      <c r="B69" s="1" t="str">
        <f aca="false">B68</f>
        <v>Charges and contributions</v>
      </c>
      <c r="C69" s="12" t="s">
        <v>135</v>
      </c>
      <c r="D69" s="1" t="s">
        <v>135</v>
      </c>
      <c r="E69" s="19" t="n">
        <f aca="false">+E68</f>
        <v>40048.8</v>
      </c>
      <c r="F69" s="14" t="n">
        <f aca="false">F68</f>
        <v>2071000000</v>
      </c>
    </row>
    <row r="70" customFormat="false" ht="11.45" hidden="false" customHeight="false" outlineLevel="0" collapsed="false">
      <c r="B70" s="12" t="s">
        <v>94</v>
      </c>
      <c r="C70" s="12" t="n">
        <v>88</v>
      </c>
      <c r="D70" s="12" t="s">
        <v>45</v>
      </c>
      <c r="E70" s="13" t="n">
        <v>584.66</v>
      </c>
      <c r="F70" s="12" t="n">
        <v>2071100000</v>
      </c>
    </row>
    <row r="71" customFormat="false" ht="11.45" hidden="false" customHeight="false" outlineLevel="0" collapsed="false">
      <c r="B71" s="12" t="s">
        <v>94</v>
      </c>
      <c r="C71" s="12" t="n">
        <v>111111</v>
      </c>
      <c r="D71" s="12" t="s">
        <v>27</v>
      </c>
      <c r="E71" s="13" t="n">
        <v>64039.827</v>
      </c>
      <c r="F71" s="12" t="n">
        <v>2071100000</v>
      </c>
    </row>
    <row r="72" customFormat="false" ht="11.45" hidden="false" customHeight="false" outlineLevel="0" collapsed="false">
      <c r="B72" s="1" t="str">
        <f aca="false">B71</f>
        <v>Insurance expenses</v>
      </c>
      <c r="C72" s="12" t="s">
        <v>135</v>
      </c>
      <c r="D72" s="1" t="s">
        <v>135</v>
      </c>
      <c r="E72" s="19" t="n">
        <f aca="false">+E71+E70</f>
        <v>64624.487</v>
      </c>
      <c r="F72" s="14" t="n">
        <f aca="false">F71</f>
        <v>2071100000</v>
      </c>
    </row>
    <row r="73" customFormat="false" ht="11.45" hidden="false" customHeight="false" outlineLevel="0" collapsed="false">
      <c r="B73" s="12" t="s">
        <v>171</v>
      </c>
      <c r="C73" s="12" t="n">
        <v>111111</v>
      </c>
      <c r="D73" s="12" t="s">
        <v>27</v>
      </c>
      <c r="E73" s="13" t="n">
        <v>1353</v>
      </c>
      <c r="F73" s="12" t="n">
        <v>2071209100</v>
      </c>
    </row>
    <row r="74" customFormat="false" ht="11.45" hidden="false" customHeight="false" outlineLevel="0" collapsed="false">
      <c r="B74" s="1" t="str">
        <f aca="false">B73</f>
        <v>Repairs/Maintenance costs</v>
      </c>
      <c r="C74" s="12" t="s">
        <v>135</v>
      </c>
      <c r="D74" s="1" t="s">
        <v>135</v>
      </c>
      <c r="E74" s="19" t="n">
        <f aca="false">+E73</f>
        <v>1353</v>
      </c>
      <c r="F74" s="14" t="n">
        <f aca="false">F73</f>
        <v>2071209100</v>
      </c>
    </row>
    <row r="75" customFormat="false" ht="11.45" hidden="false" customHeight="false" outlineLevel="0" collapsed="false">
      <c r="B75" s="12" t="s">
        <v>96</v>
      </c>
      <c r="C75" s="12" t="n">
        <v>111111</v>
      </c>
      <c r="D75" s="12" t="s">
        <v>27</v>
      </c>
      <c r="E75" s="13" t="n">
        <v>2514431.887</v>
      </c>
      <c r="F75" s="12" t="n">
        <v>2071209200</v>
      </c>
    </row>
    <row r="76" customFormat="false" ht="11.45" hidden="false" customHeight="false" outlineLevel="0" collapsed="false">
      <c r="B76" s="1" t="str">
        <f aca="false">B75</f>
        <v>Travel expenses</v>
      </c>
      <c r="C76" s="12" t="s">
        <v>135</v>
      </c>
      <c r="D76" s="1" t="s">
        <v>135</v>
      </c>
      <c r="E76" s="19" t="n">
        <f aca="false">+E75</f>
        <v>2514431.887</v>
      </c>
      <c r="F76" s="14" t="n">
        <f aca="false">F75</f>
        <v>2071209200</v>
      </c>
    </row>
    <row r="77" customFormat="false" ht="11.45" hidden="false" customHeight="false" outlineLevel="0" collapsed="false">
      <c r="B77" s="12" t="s">
        <v>98</v>
      </c>
      <c r="C77" s="12" t="n">
        <v>111111</v>
      </c>
      <c r="D77" s="12" t="s">
        <v>27</v>
      </c>
      <c r="E77" s="13" t="n">
        <v>4194.3</v>
      </c>
      <c r="F77" s="12" t="n">
        <v>2071209400</v>
      </c>
    </row>
    <row r="78" customFormat="false" ht="11.45" hidden="false" customHeight="false" outlineLevel="0" collapsed="false">
      <c r="B78" s="1" t="str">
        <f aca="false">B77</f>
        <v>Utility expenses</v>
      </c>
      <c r="C78" s="12" t="s">
        <v>135</v>
      </c>
      <c r="D78" s="1" t="s">
        <v>135</v>
      </c>
      <c r="E78" s="19" t="n">
        <f aca="false">+E77</f>
        <v>4194.3</v>
      </c>
      <c r="F78" s="14" t="n">
        <f aca="false">F77</f>
        <v>2071209400</v>
      </c>
    </row>
    <row r="79" customFormat="false" ht="11.45" hidden="false" customHeight="false" outlineLevel="0" collapsed="false">
      <c r="B79" s="12" t="s">
        <v>100</v>
      </c>
      <c r="C79" s="12" t="n">
        <v>111111</v>
      </c>
      <c r="D79" s="12" t="s">
        <v>27</v>
      </c>
      <c r="E79" s="13" t="n">
        <v>106525.708</v>
      </c>
      <c r="F79" s="12" t="n">
        <v>2071209500</v>
      </c>
    </row>
    <row r="80" customFormat="false" ht="11.45" hidden="false" customHeight="false" outlineLevel="0" collapsed="false">
      <c r="B80" s="1" t="str">
        <f aca="false">B79</f>
        <v>Legal expenses</v>
      </c>
      <c r="C80" s="12" t="s">
        <v>135</v>
      </c>
      <c r="D80" s="1" t="s">
        <v>135</v>
      </c>
      <c r="E80" s="19" t="n">
        <f aca="false">+E79</f>
        <v>106525.708</v>
      </c>
      <c r="F80" s="14" t="n">
        <f aca="false">F79</f>
        <v>2071209500</v>
      </c>
    </row>
    <row r="81" customFormat="false" ht="11.45" hidden="false" customHeight="false" outlineLevel="0" collapsed="false">
      <c r="B81" s="12" t="s">
        <v>102</v>
      </c>
      <c r="C81" s="12" t="n">
        <v>111101</v>
      </c>
      <c r="D81" s="12" t="s">
        <v>38</v>
      </c>
      <c r="E81" s="13" t="n">
        <v>109811.284</v>
      </c>
      <c r="F81" s="12" t="n">
        <v>2071980000</v>
      </c>
    </row>
    <row r="82" customFormat="false" ht="11.45" hidden="false" customHeight="false" outlineLevel="0" collapsed="false">
      <c r="B82" s="1" t="str">
        <f aca="false">B81</f>
        <v>Misc costs</v>
      </c>
      <c r="C82" s="12" t="s">
        <v>135</v>
      </c>
      <c r="D82" s="1" t="s">
        <v>135</v>
      </c>
      <c r="E82" s="19" t="n">
        <f aca="false">+E81</f>
        <v>109811.284</v>
      </c>
      <c r="F82" s="14" t="n">
        <f aca="false">F81</f>
        <v>2071980000</v>
      </c>
    </row>
    <row r="83" customFormat="false" ht="11.45" hidden="false" customHeight="false" outlineLevel="0" collapsed="false">
      <c r="B83" s="12" t="s">
        <v>104</v>
      </c>
      <c r="C83" s="12" t="n">
        <v>111111</v>
      </c>
      <c r="D83" s="12" t="s">
        <v>27</v>
      </c>
      <c r="E83" s="13" t="n">
        <v>61111.484</v>
      </c>
      <c r="F83" s="12" t="n">
        <v>2079022000</v>
      </c>
    </row>
    <row r="84" customFormat="false" ht="11.45" hidden="false" customHeight="false" outlineLevel="0" collapsed="false">
      <c r="B84" s="1" t="str">
        <f aca="false">B83</f>
        <v>Consulting fees</v>
      </c>
      <c r="C84" s="12" t="s">
        <v>135</v>
      </c>
      <c r="D84" s="1" t="s">
        <v>135</v>
      </c>
      <c r="E84" s="19" t="n">
        <f aca="false">+E83</f>
        <v>61111.484</v>
      </c>
      <c r="F84" s="14" t="n">
        <f aca="false">F83</f>
        <v>2079022000</v>
      </c>
    </row>
    <row r="85" customFormat="false" ht="11.45" hidden="false" customHeight="false" outlineLevel="0" collapsed="false">
      <c r="B85" s="12" t="s">
        <v>106</v>
      </c>
      <c r="C85" s="12" t="s">
        <v>141</v>
      </c>
      <c r="D85" s="12" t="s">
        <v>142</v>
      </c>
      <c r="E85" s="13" t="n">
        <v>0</v>
      </c>
      <c r="F85" s="12" t="n">
        <v>2079070000</v>
      </c>
    </row>
    <row r="86" customFormat="false" ht="11.45" hidden="false" customHeight="false" outlineLevel="0" collapsed="false">
      <c r="B86" s="12" t="s">
        <v>106</v>
      </c>
      <c r="C86" s="12" t="n">
        <v>105</v>
      </c>
      <c r="D86" s="12" t="s">
        <v>107</v>
      </c>
      <c r="E86" s="13" t="n">
        <v>1684415.3</v>
      </c>
      <c r="F86" s="12" t="n">
        <v>2079070000</v>
      </c>
    </row>
    <row r="87" customFormat="false" ht="11.45" hidden="false" customHeight="false" outlineLevel="0" collapsed="false">
      <c r="B87" s="12" t="s">
        <v>106</v>
      </c>
      <c r="C87" s="12" t="n">
        <v>111111</v>
      </c>
      <c r="D87" s="12" t="s">
        <v>27</v>
      </c>
      <c r="E87" s="13" t="n">
        <v>575626.265</v>
      </c>
      <c r="F87" s="12" t="n">
        <v>2079070000</v>
      </c>
    </row>
    <row r="88" customFormat="false" ht="11.45" hidden="false" customHeight="false" outlineLevel="0" collapsed="false">
      <c r="B88" s="1" t="str">
        <f aca="false">B87</f>
        <v>Misc extraordinary expenses</v>
      </c>
      <c r="C88" s="12" t="s">
        <v>135</v>
      </c>
      <c r="D88" s="1" t="s">
        <v>135</v>
      </c>
      <c r="E88" s="19" t="n">
        <f aca="false">+SUM(E85:E87)</f>
        <v>2260041.565</v>
      </c>
      <c r="F88" s="14" t="n">
        <f aca="false">F87</f>
        <v>2079070000</v>
      </c>
    </row>
    <row r="89" customFormat="false" ht="11.45" hidden="false" customHeight="false" outlineLevel="0" collapsed="false">
      <c r="B89" s="12" t="s">
        <v>110</v>
      </c>
      <c r="C89" s="12" t="s">
        <v>136</v>
      </c>
      <c r="D89" s="12" t="s">
        <v>137</v>
      </c>
      <c r="E89" s="13" t="n">
        <v>0</v>
      </c>
      <c r="F89" s="12" t="n">
        <v>2079080000</v>
      </c>
    </row>
    <row r="90" customFormat="false" ht="11.45" hidden="false" customHeight="false" outlineLevel="0" collapsed="false">
      <c r="B90" s="12" t="s">
        <v>110</v>
      </c>
      <c r="C90" s="12" t="n">
        <v>1007</v>
      </c>
      <c r="D90" s="12" t="s">
        <v>150</v>
      </c>
      <c r="E90" s="13" t="n">
        <v>0</v>
      </c>
      <c r="F90" s="12" t="n">
        <v>2079080000</v>
      </c>
    </row>
    <row r="91" customFormat="false" ht="11.45" hidden="false" customHeight="false" outlineLevel="0" collapsed="false">
      <c r="B91" s="1" t="str">
        <f aca="false">B90</f>
        <v>Difference from eliminations</v>
      </c>
      <c r="C91" s="12" t="s">
        <v>135</v>
      </c>
      <c r="D91" s="1" t="s">
        <v>135</v>
      </c>
      <c r="E91" s="19" t="n">
        <f aca="false">+E89+E90</f>
        <v>0</v>
      </c>
      <c r="F91" s="14" t="n">
        <f aca="false">F90</f>
        <v>2079080000</v>
      </c>
    </row>
    <row r="92" customFormat="false" ht="11.45" hidden="false" customHeight="false" outlineLevel="0" collapsed="false">
      <c r="B92" s="12" t="s">
        <v>114</v>
      </c>
      <c r="C92" s="12" t="s">
        <v>136</v>
      </c>
      <c r="D92" s="12" t="s">
        <v>137</v>
      </c>
      <c r="E92" s="13" t="n">
        <v>0</v>
      </c>
      <c r="F92" s="12" t="n">
        <v>2082280000</v>
      </c>
    </row>
    <row r="93" customFormat="false" ht="11.45" hidden="false" customHeight="false" outlineLevel="0" collapsed="false">
      <c r="B93" s="12" t="s">
        <v>114</v>
      </c>
      <c r="C93" s="12" t="n">
        <v>1009</v>
      </c>
      <c r="D93" s="12" t="s">
        <v>32</v>
      </c>
      <c r="E93" s="13" t="n">
        <v>0</v>
      </c>
      <c r="F93" s="12" t="n">
        <v>2082280000</v>
      </c>
    </row>
    <row r="94" customFormat="false" ht="11.45" hidden="false" customHeight="false" outlineLevel="0" collapsed="false">
      <c r="B94" s="12" t="s">
        <v>114</v>
      </c>
      <c r="C94" s="12" t="n">
        <v>1007</v>
      </c>
      <c r="D94" s="12" t="s">
        <v>34</v>
      </c>
      <c r="E94" s="13" t="n">
        <v>0</v>
      </c>
      <c r="F94" s="12" t="n">
        <v>2082280000</v>
      </c>
    </row>
    <row r="95" customFormat="false" ht="11.45" hidden="false" customHeight="false" outlineLevel="0" collapsed="false">
      <c r="B95" s="12" t="s">
        <v>114</v>
      </c>
      <c r="C95" s="12" t="n">
        <v>1008</v>
      </c>
      <c r="D95" s="12" t="s">
        <v>36</v>
      </c>
      <c r="E95" s="13" t="n">
        <v>0</v>
      </c>
      <c r="F95" s="12" t="n">
        <v>2082280000</v>
      </c>
    </row>
    <row r="96" customFormat="false" ht="11.45" hidden="false" customHeight="false" outlineLevel="0" collapsed="false">
      <c r="B96" s="12" t="s">
        <v>114</v>
      </c>
      <c r="C96" s="12" t="n">
        <v>1240</v>
      </c>
      <c r="D96" s="12" t="s">
        <v>72</v>
      </c>
      <c r="E96" s="13" t="n">
        <v>0</v>
      </c>
      <c r="F96" s="12" t="n">
        <v>2082280000</v>
      </c>
    </row>
    <row r="97" customFormat="false" ht="11.45" hidden="false" customHeight="false" outlineLevel="0" collapsed="false">
      <c r="B97" s="12" t="s">
        <v>114</v>
      </c>
      <c r="C97" s="12" t="n">
        <v>1006</v>
      </c>
      <c r="D97" s="12" t="s">
        <v>160</v>
      </c>
      <c r="E97" s="13" t="n">
        <v>0</v>
      </c>
      <c r="F97" s="12" t="n">
        <v>2082280000</v>
      </c>
    </row>
    <row r="98" customFormat="false" ht="11.45" hidden="false" customHeight="false" outlineLevel="0" collapsed="false">
      <c r="B98" s="12" t="s">
        <v>114</v>
      </c>
      <c r="C98" s="12" t="n">
        <v>111111</v>
      </c>
      <c r="D98" s="12" t="s">
        <v>27</v>
      </c>
      <c r="E98" s="13" t="n">
        <v>-73809.512</v>
      </c>
      <c r="F98" s="12" t="n">
        <v>2082280000</v>
      </c>
    </row>
    <row r="99" customFormat="false" ht="11.45" hidden="false" customHeight="false" outlineLevel="0" collapsed="false">
      <c r="B99" s="1" t="str">
        <f aca="false">B98</f>
        <v>Interest income</v>
      </c>
      <c r="C99" s="12" t="s">
        <v>135</v>
      </c>
      <c r="D99" s="1" t="s">
        <v>135</v>
      </c>
      <c r="E99" s="19" t="n">
        <f aca="false">+E98</f>
        <v>-73809.512</v>
      </c>
      <c r="F99" s="14" t="n">
        <f aca="false">F98</f>
        <v>2082280000</v>
      </c>
    </row>
    <row r="100" customFormat="false" ht="11.45" hidden="false" customHeight="false" outlineLevel="0" collapsed="false">
      <c r="B100" s="12" t="s">
        <v>122</v>
      </c>
      <c r="C100" s="12" t="n">
        <v>111101</v>
      </c>
      <c r="D100" s="12" t="s">
        <v>38</v>
      </c>
      <c r="E100" s="13" t="n">
        <v>7173.196</v>
      </c>
      <c r="F100" s="12" t="n">
        <v>2082208200</v>
      </c>
    </row>
    <row r="101" customFormat="false" ht="11.45" hidden="false" customHeight="false" outlineLevel="0" collapsed="false">
      <c r="B101" s="1" t="str">
        <f aca="false">B100</f>
        <v>Non-recurring costs</v>
      </c>
      <c r="C101" s="12" t="s">
        <v>135</v>
      </c>
      <c r="D101" s="1" t="s">
        <v>135</v>
      </c>
      <c r="E101" s="19" t="n">
        <f aca="false">+E100</f>
        <v>7173.196</v>
      </c>
      <c r="F101" s="14" t="n">
        <f aca="false">F100</f>
        <v>2082208200</v>
      </c>
    </row>
    <row r="102" customFormat="false" ht="11.45" hidden="false" customHeight="false" outlineLevel="0" collapsed="false">
      <c r="B102" s="12" t="s">
        <v>124</v>
      </c>
      <c r="C102" s="12" t="n">
        <v>88</v>
      </c>
      <c r="D102" s="12" t="s">
        <v>45</v>
      </c>
      <c r="E102" s="13" t="n">
        <v>2324465.886</v>
      </c>
      <c r="F102" s="12" t="n">
        <v>2082214000</v>
      </c>
    </row>
    <row r="103" customFormat="false" ht="11.45" hidden="false" customHeight="false" outlineLevel="0" collapsed="false">
      <c r="B103" s="12" t="s">
        <v>124</v>
      </c>
      <c r="C103" s="12" t="n">
        <v>1007</v>
      </c>
      <c r="D103" s="12" t="s">
        <v>150</v>
      </c>
      <c r="E103" s="13" t="n">
        <v>0</v>
      </c>
      <c r="F103" s="12" t="n">
        <v>2082214000</v>
      </c>
    </row>
    <row r="104" customFormat="false" ht="11.45" hidden="false" customHeight="false" outlineLevel="0" collapsed="false">
      <c r="B104" s="12" t="s">
        <v>124</v>
      </c>
      <c r="C104" s="12" t="n">
        <v>111111</v>
      </c>
      <c r="D104" s="12" t="s">
        <v>27</v>
      </c>
      <c r="E104" s="13" t="n">
        <v>51.455</v>
      </c>
      <c r="F104" s="12" t="n">
        <v>2082214000</v>
      </c>
    </row>
    <row r="105" customFormat="false" ht="11.45" hidden="false" customHeight="false" outlineLevel="0" collapsed="false">
      <c r="B105" s="1" t="str">
        <f aca="false">B104</f>
        <v>Interest expenses</v>
      </c>
      <c r="C105" s="12" t="s">
        <v>135</v>
      </c>
      <c r="D105" s="1" t="s">
        <v>135</v>
      </c>
      <c r="E105" s="19" t="n">
        <f aca="false">+E102+E104</f>
        <v>2324517.341</v>
      </c>
      <c r="F105" s="14" t="n">
        <f aca="false">F104</f>
        <v>2082214000</v>
      </c>
    </row>
    <row r="106" customFormat="false" ht="11.45" hidden="false" customHeight="false" outlineLevel="0" collapsed="false">
      <c r="B106" s="12" t="s">
        <v>161</v>
      </c>
      <c r="C106" s="12" t="n">
        <v>111101</v>
      </c>
      <c r="D106" s="12" t="s">
        <v>38</v>
      </c>
      <c r="E106" s="13" t="n">
        <v>0</v>
      </c>
      <c r="F106" s="12" t="n">
        <v>2082110000</v>
      </c>
    </row>
    <row r="107" customFormat="false" ht="11.45" hidden="false" customHeight="false" outlineLevel="0" collapsed="false">
      <c r="B107" s="1" t="str">
        <f aca="false">B106</f>
        <v>Impairment of participation</v>
      </c>
      <c r="C107" s="12" t="s">
        <v>135</v>
      </c>
      <c r="D107" s="1" t="s">
        <v>135</v>
      </c>
      <c r="E107" s="19" t="n">
        <f aca="false">+E106</f>
        <v>0</v>
      </c>
      <c r="F107" s="14" t="n">
        <f aca="false">F106</f>
        <v>2082110000</v>
      </c>
    </row>
    <row r="108" customFormat="false" ht="11.45" hidden="false" customHeight="false" outlineLevel="0" collapsed="false">
      <c r="B108" s="12" t="s">
        <v>126</v>
      </c>
      <c r="C108" s="12" t="n">
        <v>111101</v>
      </c>
      <c r="D108" s="12" t="s">
        <v>38</v>
      </c>
      <c r="E108" s="13" t="n">
        <v>2558.195</v>
      </c>
      <c r="F108" s="12" t="n">
        <v>2091200000</v>
      </c>
    </row>
    <row r="109" customFormat="false" ht="11.45" hidden="false" customHeight="false" outlineLevel="0" collapsed="false">
      <c r="B109" s="1" t="str">
        <f aca="false">B108</f>
        <v>Current taxes</v>
      </c>
      <c r="C109" s="12" t="s">
        <v>135</v>
      </c>
      <c r="D109" s="1" t="s">
        <v>135</v>
      </c>
      <c r="E109" s="19" t="n">
        <f aca="false">+E108</f>
        <v>2558.195</v>
      </c>
      <c r="F109" s="14" t="n">
        <f aca="false">F108</f>
        <v>2091200000</v>
      </c>
    </row>
    <row r="110" customFormat="false" ht="11.45" hidden="false" customHeight="false" outlineLevel="0" collapsed="false">
      <c r="B110" s="12" t="s">
        <v>128</v>
      </c>
      <c r="C110" s="12" t="n">
        <v>111101</v>
      </c>
      <c r="D110" s="12" t="s">
        <v>38</v>
      </c>
      <c r="E110" s="13" t="n">
        <v>522710.353</v>
      </c>
      <c r="F110" s="12" t="n">
        <v>2091200001</v>
      </c>
    </row>
    <row r="111" customFormat="false" ht="11.45" hidden="false" customHeight="false" outlineLevel="0" collapsed="false">
      <c r="B111" s="1" t="str">
        <f aca="false">B110</f>
        <v>Regional taxes</v>
      </c>
      <c r="C111" s="12" t="s">
        <v>135</v>
      </c>
      <c r="D111" s="1" t="s">
        <v>135</v>
      </c>
      <c r="E111" s="19" t="n">
        <f aca="false">+E110</f>
        <v>522710.353</v>
      </c>
      <c r="F111" s="14" t="n">
        <f aca="false">F110</f>
        <v>2091200001</v>
      </c>
    </row>
    <row r="112" customFormat="false" ht="11.45" hidden="false" customHeight="false" outlineLevel="0" collapsed="false">
      <c r="B112" s="12" t="s">
        <v>130</v>
      </c>
      <c r="C112" s="12" t="n">
        <v>111101</v>
      </c>
      <c r="D112" s="12" t="s">
        <v>38</v>
      </c>
      <c r="E112" s="13" t="n">
        <v>-160303.522</v>
      </c>
      <c r="F112" s="12" t="n">
        <v>2092200000</v>
      </c>
    </row>
    <row r="113" customFormat="false" ht="11.45" hidden="false" customHeight="false" outlineLevel="0" collapsed="false">
      <c r="B113" s="1" t="str">
        <f aca="false">B112</f>
        <v>Deferred taxes</v>
      </c>
      <c r="C113" s="12" t="s">
        <v>135</v>
      </c>
      <c r="D113" s="1" t="s">
        <v>135</v>
      </c>
      <c r="E113" s="19" t="n">
        <f aca="false">+E112</f>
        <v>-160303.522</v>
      </c>
      <c r="F113" s="14" t="n">
        <f aca="false">F112</f>
        <v>2092200000</v>
      </c>
    </row>
    <row r="114" customFormat="false" ht="11.45" hidden="false" customHeight="false" outlineLevel="0" collapsed="false">
      <c r="B114" s="12" t="s">
        <v>172</v>
      </c>
      <c r="C114" s="12" t="n">
        <v>111101</v>
      </c>
      <c r="D114" s="12" t="s">
        <v>38</v>
      </c>
      <c r="E114" s="13" t="n">
        <v>0</v>
      </c>
      <c r="F114" s="12" t="n">
        <v>2111111997</v>
      </c>
    </row>
    <row r="115" customFormat="false" ht="11.45" hidden="false" customHeight="false" outlineLevel="0" collapsed="false">
      <c r="B115" s="15" t="s">
        <v>132</v>
      </c>
      <c r="C115" s="15" t="n">
        <v>111101</v>
      </c>
      <c r="D115" s="15" t="s">
        <v>38</v>
      </c>
      <c r="E115" s="16" t="n">
        <v>-779290.476</v>
      </c>
      <c r="F115" s="15" t="n">
        <v>2111111999</v>
      </c>
    </row>
    <row r="116" customFormat="false" ht="11.45" hidden="false" customHeight="false" outlineLevel="0" collapsed="false">
      <c r="C116" s="12"/>
    </row>
    <row r="117" customFormat="false" ht="11.45" hidden="false" customHeight="false" outlineLevel="0" collapsed="false">
      <c r="C117" s="12"/>
    </row>
    <row r="118" customFormat="false" ht="11.45" hidden="false" customHeight="false" outlineLevel="0" collapsed="false">
      <c r="C118" s="12"/>
    </row>
    <row r="119" customFormat="false" ht="11.45" hidden="false" customHeight="false" outlineLevel="0" collapsed="false">
      <c r="C119" s="12"/>
    </row>
    <row r="120" customFormat="false" ht="11.45" hidden="false" customHeight="false" outlineLevel="0" collapsed="false">
      <c r="C120" s="12"/>
    </row>
    <row r="121" customFormat="false" ht="11.45" hidden="false" customHeight="false" outlineLevel="0" collapsed="false">
      <c r="C121" s="12"/>
    </row>
    <row r="122" customFormat="false" ht="11.45" hidden="false" customHeight="false" outlineLevel="0" collapsed="false">
      <c r="C122" s="12"/>
    </row>
    <row r="123" customFormat="false" ht="11.45" hidden="false" customHeight="false" outlineLevel="0" collapsed="false">
      <c r="C123" s="12"/>
    </row>
    <row r="124" customFormat="false" ht="11.45" hidden="false" customHeight="false" outlineLevel="0" collapsed="false">
      <c r="C124" s="12"/>
    </row>
    <row r="125" customFormat="false" ht="11.45" hidden="false" customHeight="false" outlineLevel="0" collapsed="false">
      <c r="C125" s="12"/>
    </row>
    <row r="126" customFormat="false" ht="11.45" hidden="false" customHeight="false" outlineLevel="0" collapsed="false">
      <c r="C126" s="12"/>
    </row>
    <row r="127" customFormat="false" ht="11.45" hidden="false" customHeight="false" outlineLevel="0" collapsed="false">
      <c r="C127" s="12"/>
    </row>
    <row r="128" customFormat="false" ht="11.45" hidden="false" customHeight="false" outlineLevel="0" collapsed="false">
      <c r="C128" s="12"/>
    </row>
    <row r="129" customFormat="false" ht="11.45" hidden="false" customHeight="false" outlineLevel="0" collapsed="false">
      <c r="C129" s="12"/>
    </row>
    <row r="130" customFormat="false" ht="11.45" hidden="false" customHeight="false" outlineLevel="0" collapsed="false">
      <c r="C130" s="12"/>
    </row>
    <row r="131" customFormat="false" ht="11.45" hidden="false" customHeight="false" outlineLevel="0" collapsed="false">
      <c r="C131" s="12"/>
    </row>
    <row r="132" customFormat="false" ht="11.45" hidden="false" customHeight="false" outlineLevel="0" collapsed="false">
      <c r="C132" s="12"/>
    </row>
    <row r="133" customFormat="false" ht="11.45" hidden="false" customHeight="false" outlineLevel="0" collapsed="false">
      <c r="C133" s="12"/>
    </row>
    <row r="134" customFormat="false" ht="11.45" hidden="false" customHeight="false" outlineLevel="0" collapsed="false">
      <c r="C134" s="12"/>
    </row>
    <row r="135" customFormat="false" ht="11.45" hidden="false" customHeight="false" outlineLevel="0" collapsed="false">
      <c r="C135" s="12"/>
    </row>
    <row r="136" customFormat="false" ht="11.45" hidden="false" customHeight="false" outlineLevel="0" collapsed="false">
      <c r="C136" s="12"/>
    </row>
    <row r="137" customFormat="false" ht="11.45" hidden="false" customHeight="false" outlineLevel="0" collapsed="false">
      <c r="C137" s="12"/>
    </row>
    <row r="138" customFormat="false" ht="11.45" hidden="false" customHeight="false" outlineLevel="0" collapsed="false">
      <c r="C138" s="12"/>
    </row>
    <row r="139" customFormat="false" ht="11.45" hidden="false" customHeight="false" outlineLevel="0" collapsed="false">
      <c r="C139" s="12"/>
    </row>
    <row r="140" customFormat="false" ht="11.45" hidden="false" customHeight="false" outlineLevel="0" collapsed="false">
      <c r="C140" s="12"/>
    </row>
    <row r="141" customFormat="false" ht="11.45" hidden="false" customHeight="false" outlineLevel="0" collapsed="false">
      <c r="C141" s="12"/>
    </row>
    <row r="142" customFormat="false" ht="11.45" hidden="false" customHeight="false" outlineLevel="0" collapsed="false">
      <c r="C142" s="12"/>
    </row>
    <row r="143" customFormat="false" ht="11.45" hidden="false" customHeight="false" outlineLevel="0" collapsed="false">
      <c r="C143" s="12"/>
    </row>
    <row r="144" customFormat="false" ht="11.45" hidden="false" customHeight="false" outlineLevel="0" collapsed="false">
      <c r="C144" s="12"/>
    </row>
    <row r="145" customFormat="false" ht="11.45" hidden="false" customHeight="false" outlineLevel="0" collapsed="false">
      <c r="C145" s="12"/>
    </row>
    <row r="146" customFormat="false" ht="11.45" hidden="false" customHeight="false" outlineLevel="0" collapsed="false">
      <c r="C146" s="12"/>
    </row>
    <row r="147" customFormat="false" ht="11.45" hidden="false" customHeight="false" outlineLevel="0" collapsed="false">
      <c r="C147" s="12"/>
    </row>
    <row r="148" customFormat="false" ht="11.45" hidden="false" customHeight="false" outlineLevel="0" collapsed="false">
      <c r="C148" s="12"/>
    </row>
    <row r="149" customFormat="false" ht="11.45" hidden="false" customHeight="false" outlineLevel="0" collapsed="false">
      <c r="C149" s="12"/>
    </row>
    <row r="150" customFormat="false" ht="11.45" hidden="false" customHeight="false" outlineLevel="0" collapsed="false">
      <c r="C150" s="12"/>
    </row>
    <row r="151" customFormat="false" ht="11.45" hidden="false" customHeight="false" outlineLevel="0" collapsed="false">
      <c r="C151" s="12"/>
    </row>
    <row r="152" customFormat="false" ht="11.45" hidden="false" customHeight="false" outlineLevel="0" collapsed="false">
      <c r="C152" s="12"/>
    </row>
    <row r="153" customFormat="false" ht="11.45" hidden="false" customHeight="false" outlineLevel="0" collapsed="false">
      <c r="C153" s="12"/>
    </row>
    <row r="154" customFormat="false" ht="11.45" hidden="false" customHeight="false" outlineLevel="0" collapsed="false">
      <c r="C154" s="12"/>
    </row>
  </sheetData>
  <autoFilter ref="B4:F115"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tabColor rgb="FF002060"/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RowHeight="14.45" zeroHeight="false" outlineLevelRow="0" outlineLevelCol="0"/>
  <cols>
    <col collapsed="false" customWidth="true" hidden="false" outlineLevel="0" max="1025" min="1" style="0" width="8.53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32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RowHeight="11.45" zeroHeight="false" outlineLevelRow="0" outlineLevelCol="0"/>
  <cols>
    <col collapsed="false" customWidth="true" hidden="false" outlineLevel="0" max="1" min="1" style="1" width="2"/>
    <col collapsed="false" customWidth="true" hidden="false" outlineLevel="0" max="2" min="2" style="1" width="22.49"/>
    <col collapsed="false" customWidth="true" hidden="false" outlineLevel="0" max="3" min="3" style="1" width="20.28"/>
    <col collapsed="false" customWidth="true" hidden="false" outlineLevel="0" max="4" min="4" style="1" width="9.14"/>
    <col collapsed="false" customWidth="true" hidden="false" outlineLevel="0" max="5" min="5" style="1" width="13.71"/>
    <col collapsed="false" customWidth="true" hidden="false" outlineLevel="0" max="6" min="6" style="1" width="10.14"/>
    <col collapsed="false" customWidth="true" hidden="false" outlineLevel="0" max="7" min="7" style="1" width="11.28"/>
    <col collapsed="false" customWidth="true" hidden="false" outlineLevel="0" max="8" min="8" style="1" width="11"/>
    <col collapsed="false" customWidth="true" hidden="false" outlineLevel="0" max="1025" min="9" style="1" width="9.14"/>
  </cols>
  <sheetData>
    <row r="1" customFormat="false" ht="15.75" hidden="false" customHeight="false" outlineLevel="0" collapsed="false">
      <c r="B1" s="2" t="s">
        <v>173</v>
      </c>
    </row>
    <row r="2" customFormat="false" ht="12" hidden="false" customHeight="false" outlineLevel="0" collapsed="false">
      <c r="A2" s="3"/>
      <c r="B2" s="20" t="s">
        <v>19</v>
      </c>
      <c r="C2" s="20" t="s">
        <v>174</v>
      </c>
      <c r="D2" s="20" t="s">
        <v>175</v>
      </c>
      <c r="E2" s="20" t="s">
        <v>176</v>
      </c>
      <c r="F2" s="20" t="s">
        <v>177</v>
      </c>
      <c r="G2" s="20" t="s">
        <v>178</v>
      </c>
      <c r="H2" s="20" t="s">
        <v>179</v>
      </c>
    </row>
    <row r="3" customFormat="false" ht="12.8" hidden="false" customHeight="false" outlineLevel="0" collapsed="false">
      <c r="B3" s="1" t="s">
        <v>25</v>
      </c>
      <c r="C3" s="1" t="e">
        <f aca="false">VLOOKUP('2.1 database' $B3,'1.1 fy2016' $B$5:$E$93,2,0)</f>
        <v>#NAME?</v>
      </c>
    </row>
    <row r="4" customFormat="false" ht="12.8" hidden="false" customHeight="false" outlineLevel="0" collapsed="false">
      <c r="B4" s="1" t="s">
        <v>28</v>
      </c>
    </row>
    <row r="5" customFormat="false" ht="12.8" hidden="false" customHeight="false" outlineLevel="0" collapsed="false">
      <c r="B5" s="1" t="s">
        <v>30</v>
      </c>
    </row>
    <row r="6" customFormat="false" ht="12.8" hidden="false" customHeight="false" outlineLevel="0" collapsed="false">
      <c r="B6" s="1" t="s">
        <v>33</v>
      </c>
    </row>
    <row r="7" customFormat="false" ht="12.8" hidden="false" customHeight="false" outlineLevel="0" collapsed="false">
      <c r="B7" s="1" t="s">
        <v>35</v>
      </c>
    </row>
    <row r="8" customFormat="false" ht="12.8" hidden="false" customHeight="false" outlineLevel="0" collapsed="false">
      <c r="B8" s="1" t="s">
        <v>37</v>
      </c>
    </row>
    <row r="9" customFormat="false" ht="12.8" hidden="false" customHeight="false" outlineLevel="0" collapsed="false">
      <c r="B9" s="1" t="n">
        <v>2021900000111110</v>
      </c>
    </row>
    <row r="10" customFormat="false" ht="12.8" hidden="false" customHeight="false" outlineLevel="0" collapsed="false">
      <c r="B10" s="1" t="s">
        <v>41</v>
      </c>
    </row>
    <row r="11" customFormat="false" ht="12.8" hidden="false" customHeight="false" outlineLevel="0" collapsed="false">
      <c r="B11" s="1" t="s">
        <v>43</v>
      </c>
    </row>
    <row r="12" customFormat="false" ht="12.8" hidden="false" customHeight="false" outlineLevel="0" collapsed="false">
      <c r="B12" s="1" t="s">
        <v>46</v>
      </c>
    </row>
    <row r="13" customFormat="false" ht="12.8" hidden="false" customHeight="false" outlineLevel="0" collapsed="false">
      <c r="B13" s="1" t="s">
        <v>47</v>
      </c>
    </row>
    <row r="14" customFormat="false" ht="12.8" hidden="false" customHeight="false" outlineLevel="0" collapsed="false">
      <c r="B14" s="1" t="s">
        <v>49</v>
      </c>
    </row>
    <row r="15" customFormat="false" ht="12.8" hidden="false" customHeight="false" outlineLevel="0" collapsed="false">
      <c r="B15" s="1" t="s">
        <v>51</v>
      </c>
    </row>
    <row r="16" customFormat="false" ht="12.8" hidden="false" customHeight="false" outlineLevel="0" collapsed="false">
      <c r="B16" s="1" t="s">
        <v>52</v>
      </c>
    </row>
    <row r="17" customFormat="false" ht="12.8" hidden="false" customHeight="false" outlineLevel="0" collapsed="false">
      <c r="B17" s="1" t="s">
        <v>54</v>
      </c>
    </row>
    <row r="18" customFormat="false" ht="12.8" hidden="false" customHeight="false" outlineLevel="0" collapsed="false">
      <c r="B18" s="1" t="s">
        <v>56</v>
      </c>
    </row>
    <row r="19" customFormat="false" ht="12.8" hidden="false" customHeight="false" outlineLevel="0" collapsed="false">
      <c r="B19" s="1" t="s">
        <v>57</v>
      </c>
    </row>
    <row r="20" customFormat="false" ht="12.8" hidden="false" customHeight="false" outlineLevel="0" collapsed="false">
      <c r="B20" s="1" t="s">
        <v>61</v>
      </c>
    </row>
    <row r="21" customFormat="false" ht="12.8" hidden="false" customHeight="false" outlineLevel="0" collapsed="false">
      <c r="B21" s="1" t="s">
        <v>63</v>
      </c>
    </row>
    <row r="22" customFormat="false" ht="12.8" hidden="false" customHeight="false" outlineLevel="0" collapsed="false">
      <c r="B22" s="1" t="s">
        <v>65</v>
      </c>
    </row>
    <row r="23" customFormat="false" ht="12.8" hidden="false" customHeight="false" outlineLevel="0" collapsed="false">
      <c r="B23" s="1" t="s">
        <v>68</v>
      </c>
    </row>
    <row r="24" customFormat="false" ht="12.8" hidden="false" customHeight="false" outlineLevel="0" collapsed="false">
      <c r="B24" s="1" t="s">
        <v>69</v>
      </c>
    </row>
    <row r="25" customFormat="false" ht="12.8" hidden="false" customHeight="false" outlineLevel="0" collapsed="false">
      <c r="B25" s="1" t="s">
        <v>70</v>
      </c>
    </row>
    <row r="26" customFormat="false" ht="12.8" hidden="false" customHeight="false" outlineLevel="0" collapsed="false">
      <c r="B26" s="1" t="s">
        <v>71</v>
      </c>
    </row>
    <row r="27" customFormat="false" ht="12.8" hidden="false" customHeight="false" outlineLevel="0" collapsed="false">
      <c r="B27" s="1" t="s">
        <v>73</v>
      </c>
    </row>
    <row r="28" customFormat="false" ht="12.8" hidden="false" customHeight="false" outlineLevel="0" collapsed="false">
      <c r="B28" s="1" t="s">
        <v>74</v>
      </c>
    </row>
    <row r="29" customFormat="false" ht="12.8" hidden="false" customHeight="false" outlineLevel="0" collapsed="false">
      <c r="B29" s="1" t="s">
        <v>76</v>
      </c>
    </row>
    <row r="30" customFormat="false" ht="12.8" hidden="false" customHeight="false" outlineLevel="0" collapsed="false">
      <c r="B30" s="1" t="s">
        <v>78</v>
      </c>
    </row>
    <row r="31" customFormat="false" ht="12.8" hidden="false" customHeight="false" outlineLevel="0" collapsed="false">
      <c r="B31" s="1" t="s">
        <v>80</v>
      </c>
    </row>
    <row r="32" customFormat="false" ht="12.8" hidden="false" customHeight="false" outlineLevel="0" collapsed="false">
      <c r="B32" s="1" t="s">
        <v>81</v>
      </c>
    </row>
    <row r="33" customFormat="false" ht="12.8" hidden="false" customHeight="false" outlineLevel="0" collapsed="false">
      <c r="B33" s="1" t="s">
        <v>83</v>
      </c>
    </row>
    <row r="34" customFormat="false" ht="12.8" hidden="false" customHeight="false" outlineLevel="0" collapsed="false">
      <c r="B34" s="1" t="s">
        <v>87</v>
      </c>
    </row>
    <row r="35" customFormat="false" ht="12.8" hidden="false" customHeight="false" outlineLevel="0" collapsed="false">
      <c r="B35" s="1" t="s">
        <v>90</v>
      </c>
    </row>
    <row r="36" customFormat="false" ht="12.8" hidden="false" customHeight="false" outlineLevel="0" collapsed="false">
      <c r="B36" s="1" t="s">
        <v>91</v>
      </c>
    </row>
    <row r="37" customFormat="false" ht="12.8" hidden="false" customHeight="false" outlineLevel="0" collapsed="false">
      <c r="B37" s="1" t="s">
        <v>93</v>
      </c>
    </row>
    <row r="38" customFormat="false" ht="12.8" hidden="false" customHeight="false" outlineLevel="0" collapsed="false">
      <c r="B38" s="1" t="s">
        <v>95</v>
      </c>
    </row>
    <row r="39" customFormat="false" ht="12.8" hidden="false" customHeight="false" outlineLevel="0" collapsed="false">
      <c r="B39" s="1" t="s">
        <v>97</v>
      </c>
    </row>
    <row r="40" customFormat="false" ht="12.8" hidden="false" customHeight="false" outlineLevel="0" collapsed="false">
      <c r="B40" s="1" t="s">
        <v>99</v>
      </c>
    </row>
    <row r="41" customFormat="false" ht="12.8" hidden="false" customHeight="false" outlineLevel="0" collapsed="false">
      <c r="B41" s="1" t="s">
        <v>101</v>
      </c>
    </row>
    <row r="42" customFormat="false" ht="12.8" hidden="false" customHeight="false" outlineLevel="0" collapsed="false">
      <c r="B42" s="1" t="s">
        <v>103</v>
      </c>
    </row>
    <row r="43" customFormat="false" ht="12.8" hidden="false" customHeight="false" outlineLevel="0" collapsed="false">
      <c r="B43" s="1" t="s">
        <v>105</v>
      </c>
    </row>
    <row r="44" customFormat="false" ht="12.8" hidden="false" customHeight="false" outlineLevel="0" collapsed="false">
      <c r="B44" s="1" t="s">
        <v>108</v>
      </c>
    </row>
    <row r="45" customFormat="false" ht="12.8" hidden="false" customHeight="false" outlineLevel="0" collapsed="false">
      <c r="B45" s="1" t="s">
        <v>109</v>
      </c>
    </row>
    <row r="46" customFormat="false" ht="12.8" hidden="false" customHeight="false" outlineLevel="0" collapsed="false">
      <c r="B46" s="1" t="s">
        <v>111</v>
      </c>
    </row>
    <row r="47" customFormat="false" ht="12.8" hidden="false" customHeight="false" outlineLevel="0" collapsed="false">
      <c r="B47" s="1" t="s">
        <v>112</v>
      </c>
    </row>
    <row r="48" customFormat="false" ht="12.8" hidden="false" customHeight="false" outlineLevel="0" collapsed="false">
      <c r="B48" s="1" t="s">
        <v>113</v>
      </c>
    </row>
    <row r="49" customFormat="false" ht="12.8" hidden="false" customHeight="false" outlineLevel="0" collapsed="false">
      <c r="B49" s="1" t="s">
        <v>115</v>
      </c>
    </row>
    <row r="50" customFormat="false" ht="12.8" hidden="false" customHeight="false" outlineLevel="0" collapsed="false">
      <c r="B50" s="1" t="s">
        <v>116</v>
      </c>
    </row>
    <row r="51" customFormat="false" ht="12.8" hidden="false" customHeight="false" outlineLevel="0" collapsed="false">
      <c r="B51" s="1" t="s">
        <v>117</v>
      </c>
    </row>
    <row r="52" customFormat="false" ht="12.8" hidden="false" customHeight="false" outlineLevel="0" collapsed="false">
      <c r="B52" s="1" t="s">
        <v>118</v>
      </c>
    </row>
    <row r="53" customFormat="false" ht="12.8" hidden="false" customHeight="false" outlineLevel="0" collapsed="false">
      <c r="B53" s="1" t="s">
        <v>119</v>
      </c>
    </row>
    <row r="54" customFormat="false" ht="12.8" hidden="false" customHeight="false" outlineLevel="0" collapsed="false">
      <c r="B54" s="1" t="s">
        <v>121</v>
      </c>
    </row>
    <row r="55" customFormat="false" ht="12.8" hidden="false" customHeight="false" outlineLevel="0" collapsed="false">
      <c r="B55" s="1" t="s">
        <v>123</v>
      </c>
    </row>
    <row r="56" customFormat="false" ht="12.8" hidden="false" customHeight="false" outlineLevel="0" collapsed="false">
      <c r="B56" s="1" t="s">
        <v>125</v>
      </c>
    </row>
    <row r="57" customFormat="false" ht="12.8" hidden="false" customHeight="false" outlineLevel="0" collapsed="false">
      <c r="B57" s="1" t="s">
        <v>127</v>
      </c>
    </row>
    <row r="58" customFormat="false" ht="12.8" hidden="false" customHeight="false" outlineLevel="0" collapsed="false">
      <c r="B58" s="1" t="s">
        <v>129</v>
      </c>
    </row>
    <row r="59" customFormat="false" ht="12.8" hidden="false" customHeight="false" outlineLevel="0" collapsed="false">
      <c r="B59" s="1" t="s">
        <v>131</v>
      </c>
    </row>
    <row r="60" customFormat="false" ht="12.8" hidden="false" customHeight="false" outlineLevel="0" collapsed="false">
      <c r="B60" s="12" t="n">
        <v>2001110000</v>
      </c>
    </row>
    <row r="61" customFormat="false" ht="12.8" hidden="false" customHeight="false" outlineLevel="0" collapsed="false">
      <c r="B61" s="12" t="n">
        <v>2001190000</v>
      </c>
    </row>
    <row r="62" customFormat="false" ht="12.8" hidden="false" customHeight="false" outlineLevel="0" collapsed="false">
      <c r="B62" s="12" t="n">
        <v>2020000000</v>
      </c>
    </row>
    <row r="63" customFormat="false" ht="12.8" hidden="false" customHeight="false" outlineLevel="0" collapsed="false">
      <c r="B63" s="12" t="n">
        <v>2021210000</v>
      </c>
    </row>
    <row r="64" customFormat="false" ht="12.8" hidden="false" customHeight="false" outlineLevel="0" collapsed="false">
      <c r="B64" s="12" t="n">
        <v>2021900000</v>
      </c>
    </row>
    <row r="65" customFormat="false" ht="12.8" hidden="false" customHeight="false" outlineLevel="0" collapsed="false">
      <c r="B65" s="12" t="n">
        <v>2024080000</v>
      </c>
    </row>
    <row r="66" customFormat="false" ht="12.8" hidden="false" customHeight="false" outlineLevel="0" collapsed="false">
      <c r="B66" s="12" t="n">
        <v>2024090000</v>
      </c>
    </row>
    <row r="67" customFormat="false" ht="12.8" hidden="false" customHeight="false" outlineLevel="0" collapsed="false">
      <c r="B67" s="12" t="n">
        <v>2041000000</v>
      </c>
    </row>
    <row r="68" customFormat="false" ht="12.8" hidden="false" customHeight="false" outlineLevel="0" collapsed="false">
      <c r="B68" s="12" t="n">
        <v>2042000000</v>
      </c>
    </row>
    <row r="69" customFormat="false" ht="12.8" hidden="false" customHeight="false" outlineLevel="0" collapsed="false">
      <c r="B69" s="12" t="n">
        <v>2045000000</v>
      </c>
    </row>
    <row r="70" customFormat="false" ht="12.8" hidden="false" customHeight="false" outlineLevel="0" collapsed="false">
      <c r="B70" s="12" t="n">
        <v>2049000000</v>
      </c>
    </row>
    <row r="71" customFormat="false" ht="12.8" hidden="false" customHeight="false" outlineLevel="0" collapsed="false">
      <c r="B71" s="12" t="n">
        <v>2051210000</v>
      </c>
    </row>
    <row r="72" customFormat="false" ht="12.8" hidden="false" customHeight="false" outlineLevel="0" collapsed="false">
      <c r="B72" s="12" t="n">
        <v>2051260000</v>
      </c>
    </row>
    <row r="73" customFormat="false" ht="12.8" hidden="false" customHeight="false" outlineLevel="0" collapsed="false">
      <c r="B73" s="12" t="n">
        <v>2060220000</v>
      </c>
    </row>
    <row r="74" customFormat="false" ht="12.8" hidden="false" customHeight="false" outlineLevel="0" collapsed="false">
      <c r="B74" s="12" t="n">
        <v>2069010000</v>
      </c>
    </row>
    <row r="75" customFormat="false" ht="12.8" hidden="false" customHeight="false" outlineLevel="0" collapsed="false">
      <c r="B75" s="12" t="n">
        <v>2069980000</v>
      </c>
    </row>
    <row r="76" customFormat="false" ht="12.8" hidden="false" customHeight="false" outlineLevel="0" collapsed="false">
      <c r="B76" s="12" t="n">
        <v>2070290000</v>
      </c>
    </row>
    <row r="77" customFormat="false" ht="12.8" hidden="false" customHeight="false" outlineLevel="0" collapsed="false">
      <c r="B77" s="12" t="n">
        <v>2070400000</v>
      </c>
    </row>
    <row r="78" customFormat="false" ht="12.8" hidden="false" customHeight="false" outlineLevel="0" collapsed="false">
      <c r="B78" s="12" t="n">
        <v>2070500000</v>
      </c>
    </row>
    <row r="79" customFormat="false" ht="12.8" hidden="false" customHeight="false" outlineLevel="0" collapsed="false">
      <c r="B79" s="12" t="n">
        <v>2070600000</v>
      </c>
    </row>
    <row r="80" customFormat="false" ht="12.8" hidden="false" customHeight="false" outlineLevel="0" collapsed="false">
      <c r="B80" s="12" t="n">
        <v>2070900000</v>
      </c>
    </row>
    <row r="81" customFormat="false" ht="12.8" hidden="false" customHeight="false" outlineLevel="0" collapsed="false">
      <c r="B81" s="12" t="n">
        <v>2071000000</v>
      </c>
    </row>
    <row r="82" customFormat="false" ht="12.8" hidden="false" customHeight="false" outlineLevel="0" collapsed="false">
      <c r="B82" s="12" t="n">
        <v>2071100000</v>
      </c>
    </row>
    <row r="83" customFormat="false" ht="12.8" hidden="false" customHeight="false" outlineLevel="0" collapsed="false">
      <c r="B83" s="12" t="n">
        <v>2071209200</v>
      </c>
    </row>
    <row r="84" customFormat="false" ht="12.8" hidden="false" customHeight="false" outlineLevel="0" collapsed="false">
      <c r="B84" s="12" t="n">
        <v>2071209400</v>
      </c>
    </row>
    <row r="85" customFormat="false" ht="12.8" hidden="false" customHeight="false" outlineLevel="0" collapsed="false">
      <c r="B85" s="12" t="n">
        <v>2071209500</v>
      </c>
    </row>
    <row r="86" customFormat="false" ht="12.8" hidden="false" customHeight="false" outlineLevel="0" collapsed="false">
      <c r="B86" s="12" t="n">
        <v>2071220000</v>
      </c>
    </row>
    <row r="87" customFormat="false" ht="12.8" hidden="false" customHeight="false" outlineLevel="0" collapsed="false">
      <c r="B87" s="12" t="n">
        <v>2071511000</v>
      </c>
    </row>
    <row r="88" customFormat="false" ht="12.8" hidden="false" customHeight="false" outlineLevel="0" collapsed="false">
      <c r="B88" s="12" t="n">
        <v>2071910000</v>
      </c>
    </row>
    <row r="89" customFormat="false" ht="12.8" hidden="false" customHeight="false" outlineLevel="0" collapsed="false">
      <c r="B89" s="12" t="n">
        <v>2071980000</v>
      </c>
    </row>
    <row r="90" customFormat="false" ht="12.8" hidden="false" customHeight="false" outlineLevel="0" collapsed="false">
      <c r="B90" s="12" t="n">
        <v>2079022000</v>
      </c>
    </row>
    <row r="91" customFormat="false" ht="12.8" hidden="false" customHeight="false" outlineLevel="0" collapsed="false">
      <c r="B91" s="12" t="n">
        <v>2079070000</v>
      </c>
    </row>
    <row r="92" customFormat="false" ht="12.8" hidden="false" customHeight="false" outlineLevel="0" collapsed="false">
      <c r="B92" s="12" t="n">
        <v>2079080000</v>
      </c>
    </row>
    <row r="93" customFormat="false" ht="12.8" hidden="false" customHeight="false" outlineLevel="0" collapsed="false">
      <c r="B93" s="12" t="n">
        <v>2082280000</v>
      </c>
    </row>
    <row r="94" customFormat="false" ht="12.8" hidden="false" customHeight="false" outlineLevel="0" collapsed="false">
      <c r="B94" s="12" t="n">
        <v>2082208200</v>
      </c>
    </row>
    <row r="95" customFormat="false" ht="12.8" hidden="false" customHeight="false" outlineLevel="0" collapsed="false">
      <c r="B95" s="12" t="n">
        <v>2082214000</v>
      </c>
    </row>
    <row r="96" customFormat="false" ht="12.8" hidden="false" customHeight="false" outlineLevel="0" collapsed="false">
      <c r="B96" s="12" t="n">
        <v>2082110000</v>
      </c>
    </row>
    <row r="97" customFormat="false" ht="12.8" hidden="false" customHeight="false" outlineLevel="0" collapsed="false">
      <c r="B97" s="12" t="n">
        <v>2091200000</v>
      </c>
    </row>
    <row r="98" customFormat="false" ht="12.8" hidden="false" customHeight="false" outlineLevel="0" collapsed="false">
      <c r="B98" s="12" t="n">
        <v>2091200001</v>
      </c>
    </row>
    <row r="99" customFormat="false" ht="12.8" hidden="false" customHeight="false" outlineLevel="0" collapsed="false">
      <c r="B99" s="12" t="n">
        <v>2091900000</v>
      </c>
    </row>
    <row r="100" customFormat="false" ht="12.8" hidden="false" customHeight="false" outlineLevel="0" collapsed="false">
      <c r="B100" s="12" t="n">
        <v>2092200000</v>
      </c>
    </row>
    <row r="101" customFormat="false" ht="12.8" hidden="false" customHeight="false" outlineLevel="0" collapsed="false">
      <c r="B101" s="15" t="n">
        <v>2111111999</v>
      </c>
    </row>
    <row r="102" customFormat="false" ht="12.8" hidden="false" customHeight="false" outlineLevel="0" collapsed="false">
      <c r="B102" s="12" t="n">
        <v>2024020000</v>
      </c>
    </row>
    <row r="103" customFormat="false" ht="12.8" hidden="false" customHeight="false" outlineLevel="0" collapsed="false">
      <c r="B103" s="12" t="n">
        <v>2060441000</v>
      </c>
    </row>
    <row r="104" customFormat="false" ht="12.8" hidden="false" customHeight="false" outlineLevel="0" collapsed="false">
      <c r="B104" s="12" t="n">
        <v>2069020000</v>
      </c>
    </row>
    <row r="105" customFormat="false" ht="12.8" hidden="false" customHeight="false" outlineLevel="0" collapsed="false">
      <c r="B105" s="12" t="n">
        <v>2071209100</v>
      </c>
    </row>
    <row r="106" customFormat="false" ht="12.8" hidden="false" customHeight="false" outlineLevel="0" collapsed="false">
      <c r="B106" s="12" t="n">
        <v>2111111997</v>
      </c>
    </row>
    <row r="107" customFormat="false" ht="15" hidden="false" customHeight="false" outlineLevel="0" collapsed="false"/>
    <row r="108" customFormat="false" ht="15" hidden="false" customHeight="false" outlineLevel="0" collapsed="false"/>
    <row r="109" customFormat="false" ht="15" hidden="false" customHeight="false" outlineLevel="0" collapsed="false"/>
    <row r="110" customFormat="false" ht="15" hidden="false" customHeight="false" outlineLevel="0" collapsed="false"/>
    <row r="111" customFormat="false" ht="15" hidden="false" customHeight="false" outlineLevel="0" collapsed="false"/>
    <row r="112" customFormat="false" ht="15" hidden="false" customHeight="false" outlineLevel="0" collapsed="false"/>
    <row r="113" customFormat="false" ht="15" hidden="false" customHeight="false" outlineLevel="0" collapsed="false"/>
    <row r="114" customFormat="false" ht="15" hidden="false" customHeight="false" outlineLevel="0" collapsed="false"/>
    <row r="115" customFormat="false" ht="15" hidden="false" customHeight="false" outlineLevel="0" collapsed="false"/>
    <row r="116" customFormat="false" ht="15" hidden="false" customHeight="false" outlineLevel="0" collapsed="false"/>
    <row r="117" customFormat="false" ht="15" hidden="false" customHeight="false" outlineLevel="0" collapsed="false"/>
    <row r="118" customFormat="false" ht="15" hidden="false" customHeight="false" outlineLevel="0" collapsed="false"/>
    <row r="119" customFormat="false" ht="15" hidden="false" customHeight="false" outlineLevel="0" collapsed="false"/>
    <row r="120" customFormat="false" ht="15" hidden="false" customHeight="false" outlineLevel="0" collapsed="false"/>
    <row r="121" customFormat="false" ht="15" hidden="false" customHeight="false" outlineLevel="0" collapsed="false"/>
    <row r="122" customFormat="false" ht="15" hidden="false" customHeight="false" outlineLevel="0" collapsed="false"/>
    <row r="123" customFormat="false" ht="15" hidden="false" customHeight="false" outlineLevel="0" collapsed="false"/>
    <row r="124" customFormat="false" ht="15" hidden="false" customHeight="false" outlineLevel="0" collapsed="false"/>
    <row r="125" customFormat="false" ht="15" hidden="false" customHeight="false" outlineLevel="0" collapsed="false"/>
    <row r="126" customFormat="false" ht="15" hidden="false" customHeight="false" outlineLevel="0" collapsed="false"/>
    <row r="127" customFormat="false" ht="15" hidden="false" customHeight="false" outlineLevel="0" collapsed="false"/>
    <row r="128" customFormat="false" ht="15" hidden="false" customHeight="false" outlineLevel="0" collapsed="false"/>
    <row r="129" customFormat="false" ht="15" hidden="false" customHeight="false" outlineLevel="0" collapsed="false"/>
    <row r="130" customFormat="false" ht="15" hidden="false" customHeight="false" outlineLevel="0" collapsed="false"/>
    <row r="131" customFormat="false" ht="15" hidden="false" customHeight="false" outlineLevel="0" collapsed="false"/>
    <row r="132" customFormat="false" ht="15" hidden="false" customHeight="false" outlineLevel="0" collapsed="false"/>
    <row r="133" customFormat="false" ht="15" hidden="false" customHeight="false" outlineLevel="0" collapsed="false"/>
    <row r="134" customFormat="false" ht="15" hidden="false" customHeight="false" outlineLevel="0" collapsed="false"/>
    <row r="135" customFormat="false" ht="15" hidden="false" customHeight="false" outlineLevel="0" collapsed="false"/>
    <row r="136" customFormat="false" ht="15" hidden="false" customHeight="false" outlineLevel="0" collapsed="false"/>
    <row r="137" customFormat="false" ht="15" hidden="false" customHeight="false" outlineLevel="0" collapsed="false"/>
    <row r="138" customFormat="false" ht="15" hidden="false" customHeight="false" outlineLevel="0" collapsed="false"/>
    <row r="139" customFormat="false" ht="15" hidden="false" customHeight="false" outlineLevel="0" collapsed="false"/>
    <row r="140" customFormat="false" ht="15" hidden="false" customHeight="false" outlineLevel="0" collapsed="false"/>
    <row r="141" customFormat="false" ht="15" hidden="false" customHeight="false" outlineLevel="0" collapsed="false"/>
    <row r="142" customFormat="false" ht="15" hidden="false" customHeight="false" outlineLevel="0" collapsed="false"/>
    <row r="143" customFormat="false" ht="15" hidden="false" customHeight="false" outlineLevel="0" collapsed="false"/>
    <row r="144" customFormat="false" ht="15" hidden="false" customHeight="false" outlineLevel="0" collapsed="false"/>
    <row r="145" customFormat="false" ht="15" hidden="false" customHeight="false" outlineLevel="0" collapsed="false"/>
    <row r="146" customFormat="false" ht="15" hidden="false" customHeight="false" outlineLevel="0" collapsed="false"/>
    <row r="147" customFormat="false" ht="15" hidden="false" customHeight="false" outlineLevel="0" collapsed="false"/>
    <row r="148" customFormat="false" ht="15" hidden="false" customHeight="false" outlineLevel="0" collapsed="false"/>
    <row r="149" customFormat="false" ht="15" hidden="false" customHeight="false" outlineLevel="0" collapsed="false"/>
    <row r="150" customFormat="false" ht="15" hidden="false" customHeight="false" outlineLevel="0" collapsed="false"/>
    <row r="151" customFormat="false" ht="15" hidden="false" customHeight="false" outlineLevel="0" collapsed="false"/>
    <row r="152" customFormat="false" ht="15" hidden="false" customHeight="false" outlineLevel="0" collapsed="false"/>
    <row r="153" customFormat="false" ht="15" hidden="false" customHeight="false" outlineLevel="0" collapsed="false"/>
    <row r="154" customFormat="false" ht="15" hidden="false" customHeight="false" outlineLevel="0" collapsed="false"/>
    <row r="155" customFormat="false" ht="15" hidden="false" customHeight="false" outlineLevel="0" collapsed="false"/>
    <row r="156" customFormat="false" ht="15" hidden="false" customHeight="false" outlineLevel="0" collapsed="false"/>
    <row r="157" customFormat="false" ht="15" hidden="false" customHeight="false" outlineLevel="0" collapsed="false"/>
    <row r="158" customFormat="false" ht="15" hidden="false" customHeight="false" outlineLevel="0" collapsed="false"/>
    <row r="159" customFormat="false" ht="15" hidden="false" customHeight="false" outlineLevel="0" collapsed="false"/>
    <row r="160" customFormat="false" ht="15" hidden="false" customHeight="false" outlineLevel="0" collapsed="false"/>
    <row r="161" customFormat="false" ht="15" hidden="false" customHeight="false" outlineLevel="0" collapsed="false"/>
    <row r="162" customFormat="false" ht="15" hidden="false" customHeight="false" outlineLevel="0" collapsed="false"/>
    <row r="163" customFormat="false" ht="15" hidden="false" customHeight="false" outlineLevel="0" collapsed="false"/>
    <row r="164" customFormat="false" ht="15" hidden="false" customHeight="false" outlineLevel="0" collapsed="false"/>
    <row r="165" customFormat="false" ht="15" hidden="false" customHeight="false" outlineLevel="0" collapsed="false"/>
    <row r="166" customFormat="false" ht="15" hidden="false" customHeight="false" outlineLevel="0" collapsed="false"/>
    <row r="167" customFormat="false" ht="15" hidden="false" customHeight="false" outlineLevel="0" collapsed="false"/>
    <row r="168" customFormat="false" ht="15" hidden="false" customHeight="false" outlineLevel="0" collapsed="false"/>
    <row r="169" customFormat="false" ht="15" hidden="false" customHeight="false" outlineLevel="0" collapsed="false"/>
    <row r="170" customFormat="false" ht="15" hidden="false" customHeight="false" outlineLevel="0" collapsed="false"/>
    <row r="171" customFormat="false" ht="15" hidden="false" customHeight="false" outlineLevel="0" collapsed="false"/>
    <row r="172" customFormat="false" ht="15" hidden="false" customHeight="false" outlineLevel="0" collapsed="false"/>
    <row r="173" customFormat="false" ht="15" hidden="false" customHeight="false" outlineLevel="0" collapsed="false"/>
    <row r="174" customFormat="false" ht="15" hidden="false" customHeight="false" outlineLevel="0" collapsed="false"/>
    <row r="175" customFormat="false" ht="15" hidden="false" customHeight="false" outlineLevel="0" collapsed="false"/>
    <row r="176" customFormat="false" ht="15" hidden="false" customHeight="false" outlineLevel="0" collapsed="false"/>
    <row r="177" customFormat="false" ht="15" hidden="false" customHeight="false" outlineLevel="0" collapsed="false"/>
    <row r="178" customFormat="false" ht="15" hidden="false" customHeight="false" outlineLevel="0" collapsed="false"/>
    <row r="179" customFormat="false" ht="15" hidden="false" customHeight="false" outlineLevel="0" collapsed="false"/>
    <row r="180" customFormat="false" ht="15" hidden="false" customHeight="false" outlineLevel="0" collapsed="false"/>
    <row r="181" customFormat="false" ht="15" hidden="false" customHeight="false" outlineLevel="0" collapsed="false"/>
    <row r="182" customFormat="false" ht="15" hidden="false" customHeight="false" outlineLevel="0" collapsed="false"/>
    <row r="183" customFormat="false" ht="15" hidden="false" customHeight="false" outlineLevel="0" collapsed="false"/>
    <row r="184" customFormat="false" ht="15" hidden="false" customHeight="false" outlineLevel="0" collapsed="false"/>
    <row r="185" customFormat="false" ht="15" hidden="false" customHeight="false" outlineLevel="0" collapsed="false"/>
    <row r="186" customFormat="false" ht="15" hidden="false" customHeight="false" outlineLevel="0" collapsed="false"/>
    <row r="187" customFormat="false" ht="15" hidden="false" customHeight="false" outlineLevel="0" collapsed="false"/>
    <row r="188" customFormat="false" ht="15" hidden="false" customHeight="false" outlineLevel="0" collapsed="false"/>
    <row r="189" customFormat="false" ht="15" hidden="false" customHeight="false" outlineLevel="0" collapsed="false"/>
    <row r="190" customFormat="false" ht="15" hidden="false" customHeight="false" outlineLevel="0" collapsed="false"/>
    <row r="191" customFormat="false" ht="15" hidden="false" customHeight="false" outlineLevel="0" collapsed="false"/>
    <row r="192" customFormat="false" ht="15" hidden="false" customHeight="false" outlineLevel="0" collapsed="false"/>
    <row r="193" customFormat="false" ht="15" hidden="false" customHeight="false" outlineLevel="0" collapsed="false"/>
    <row r="194" customFormat="false" ht="15" hidden="false" customHeight="false" outlineLevel="0" collapsed="false"/>
    <row r="195" customFormat="false" ht="15" hidden="false" customHeight="false" outlineLevel="0" collapsed="false"/>
    <row r="196" customFormat="false" ht="15" hidden="false" customHeight="false" outlineLevel="0" collapsed="false"/>
    <row r="197" customFormat="false" ht="15" hidden="false" customHeight="false" outlineLevel="0" collapsed="false"/>
    <row r="198" customFormat="false" ht="15" hidden="false" customHeight="false" outlineLevel="0" collapsed="false"/>
    <row r="199" customFormat="false" ht="15" hidden="false" customHeight="false" outlineLevel="0" collapsed="false"/>
    <row r="200" customFormat="false" ht="15" hidden="false" customHeight="false" outlineLevel="0" collapsed="false"/>
    <row r="201" customFormat="false" ht="15" hidden="false" customHeight="false" outlineLevel="0" collapsed="false"/>
    <row r="202" customFormat="false" ht="15" hidden="false" customHeight="false" outlineLevel="0" collapsed="false"/>
    <row r="203" customFormat="false" ht="15" hidden="false" customHeight="false" outlineLevel="0" collapsed="false"/>
    <row r="204" customFormat="false" ht="15" hidden="false" customHeight="false" outlineLevel="0" collapsed="false"/>
    <row r="205" customFormat="false" ht="15" hidden="false" customHeight="false" outlineLevel="0" collapsed="false"/>
    <row r="206" customFormat="false" ht="15" hidden="false" customHeight="false" outlineLevel="0" collapsed="false"/>
    <row r="207" customFormat="false" ht="15" hidden="false" customHeight="false" outlineLevel="0" collapsed="false"/>
    <row r="208" customFormat="false" ht="15" hidden="false" customHeight="false" outlineLevel="0" collapsed="false"/>
    <row r="209" customFormat="false" ht="15" hidden="false" customHeight="false" outlineLevel="0" collapsed="false"/>
    <row r="210" customFormat="false" ht="15" hidden="false" customHeight="false" outlineLevel="0" collapsed="false"/>
    <row r="211" customFormat="false" ht="15" hidden="false" customHeight="false" outlineLevel="0" collapsed="false"/>
    <row r="212" customFormat="false" ht="15" hidden="false" customHeight="false" outlineLevel="0" collapsed="false"/>
    <row r="213" customFormat="false" ht="15" hidden="false" customHeight="false" outlineLevel="0" collapsed="false"/>
    <row r="214" customFormat="false" ht="15" hidden="false" customHeight="false" outlineLevel="0" collapsed="false"/>
    <row r="215" customFormat="false" ht="15" hidden="false" customHeight="false" outlineLevel="0" collapsed="false"/>
    <row r="216" customFormat="false" ht="15" hidden="false" customHeight="false" outlineLevel="0" collapsed="false"/>
    <row r="217" customFormat="false" ht="15" hidden="false" customHeight="false" outlineLevel="0" collapsed="false"/>
    <row r="218" customFormat="false" ht="15" hidden="false" customHeight="false" outlineLevel="0" collapsed="false"/>
    <row r="219" customFormat="false" ht="15" hidden="false" customHeight="false" outlineLevel="0" collapsed="false"/>
    <row r="220" customFormat="false" ht="15" hidden="false" customHeight="false" outlineLevel="0" collapsed="false"/>
    <row r="221" customFormat="false" ht="15" hidden="false" customHeight="false" outlineLevel="0" collapsed="false"/>
    <row r="222" customFormat="false" ht="15" hidden="false" customHeight="false" outlineLevel="0" collapsed="false"/>
    <row r="223" customFormat="false" ht="15" hidden="false" customHeight="false" outlineLevel="0" collapsed="false"/>
    <row r="224" customFormat="false" ht="15" hidden="false" customHeight="false" outlineLevel="0" collapsed="false"/>
    <row r="225" customFormat="false" ht="15" hidden="false" customHeight="false" outlineLevel="0" collapsed="false"/>
    <row r="226" customFormat="false" ht="15" hidden="false" customHeight="false" outlineLevel="0" collapsed="false"/>
    <row r="227" customFormat="false" ht="15" hidden="false" customHeight="false" outlineLevel="0" collapsed="false"/>
    <row r="228" customFormat="false" ht="15" hidden="false" customHeight="false" outlineLevel="0" collapsed="false"/>
    <row r="229" customFormat="false" ht="15" hidden="false" customHeight="false" outlineLevel="0" collapsed="false"/>
    <row r="230" customFormat="false" ht="15" hidden="false" customHeight="false" outlineLevel="0" collapsed="false"/>
    <row r="231" customFormat="false" ht="15" hidden="false" customHeight="false" outlineLevel="0" collapsed="false"/>
    <row r="232" customFormat="false" ht="15" hidden="false" customHeight="false" outlineLevel="0" collapsed="false"/>
    <row r="233" customFormat="false" ht="15" hidden="false" customHeight="false" outlineLevel="0" collapsed="false"/>
    <row r="234" customFormat="false" ht="15" hidden="false" customHeight="false" outlineLevel="0" collapsed="false"/>
    <row r="235" customFormat="false" ht="15" hidden="false" customHeight="false" outlineLevel="0" collapsed="false"/>
    <row r="236" customFormat="false" ht="15" hidden="false" customHeight="false" outlineLevel="0" collapsed="false"/>
    <row r="237" customFormat="false" ht="15" hidden="false" customHeight="false" outlineLevel="0" collapsed="false"/>
    <row r="238" customFormat="false" ht="15" hidden="false" customHeight="false" outlineLevel="0" collapsed="false"/>
    <row r="239" customFormat="false" ht="15" hidden="false" customHeight="false" outlineLevel="0" collapsed="false"/>
    <row r="240" customFormat="false" ht="15" hidden="false" customHeight="false" outlineLevel="0" collapsed="false"/>
    <row r="241" customFormat="false" ht="15" hidden="false" customHeight="false" outlineLevel="0" collapsed="false"/>
    <row r="242" customFormat="false" ht="15" hidden="false" customHeight="false" outlineLevel="0" collapsed="false"/>
    <row r="243" customFormat="false" ht="15" hidden="false" customHeight="false" outlineLevel="0" collapsed="false"/>
    <row r="244" customFormat="false" ht="15" hidden="false" customHeight="false" outlineLevel="0" collapsed="false"/>
    <row r="245" customFormat="false" ht="15" hidden="false" customHeight="false" outlineLevel="0" collapsed="false"/>
    <row r="246" customFormat="false" ht="15" hidden="false" customHeight="false" outlineLevel="0" collapsed="false"/>
    <row r="247" customFormat="false" ht="15" hidden="false" customHeight="false" outlineLevel="0" collapsed="false"/>
    <row r="248" customFormat="false" ht="15" hidden="false" customHeight="false" outlineLevel="0" collapsed="false"/>
    <row r="249" customFormat="false" ht="15" hidden="false" customHeight="false" outlineLevel="0" collapsed="false"/>
    <row r="250" customFormat="false" ht="15" hidden="false" customHeight="false" outlineLevel="0" collapsed="false"/>
    <row r="251" customFormat="false" ht="15" hidden="false" customHeight="false" outlineLevel="0" collapsed="false"/>
    <row r="252" customFormat="false" ht="15" hidden="false" customHeight="false" outlineLevel="0" collapsed="false"/>
    <row r="253" customFormat="false" ht="15" hidden="false" customHeight="false" outlineLevel="0" collapsed="false"/>
    <row r="254" customFormat="false" ht="15" hidden="false" customHeight="false" outlineLevel="0" collapsed="false"/>
    <row r="255" customFormat="false" ht="15" hidden="false" customHeight="false" outlineLevel="0" collapsed="false"/>
    <row r="256" customFormat="false" ht="15" hidden="false" customHeight="false" outlineLevel="0" collapsed="false"/>
    <row r="257" customFormat="false" ht="15" hidden="false" customHeight="false" outlineLevel="0" collapsed="false"/>
    <row r="258" customFormat="false" ht="15" hidden="false" customHeight="false" outlineLevel="0" collapsed="false"/>
    <row r="259" customFormat="false" ht="15" hidden="false" customHeight="false" outlineLevel="0" collapsed="false"/>
    <row r="260" customFormat="false" ht="15" hidden="false" customHeight="false" outlineLevel="0" collapsed="false"/>
    <row r="261" customFormat="false" ht="15" hidden="false" customHeight="false" outlineLevel="0" collapsed="false"/>
    <row r="262" customFormat="false" ht="15" hidden="false" customHeight="false" outlineLevel="0" collapsed="false"/>
    <row r="263" customFormat="false" ht="15" hidden="false" customHeight="false" outlineLevel="0" collapsed="false"/>
    <row r="264" customFormat="false" ht="15" hidden="false" customHeight="false" outlineLevel="0" collapsed="false"/>
    <row r="265" customFormat="false" ht="15" hidden="false" customHeight="false" outlineLevel="0" collapsed="false"/>
    <row r="266" customFormat="false" ht="15" hidden="false" customHeight="false" outlineLevel="0" collapsed="false"/>
    <row r="267" customFormat="false" ht="15" hidden="false" customHeight="false" outlineLevel="0" collapsed="false"/>
    <row r="268" customFormat="false" ht="15" hidden="false" customHeight="false" outlineLevel="0" collapsed="false"/>
    <row r="269" customFormat="false" ht="15" hidden="false" customHeight="false" outlineLevel="0" collapsed="false"/>
    <row r="270" customFormat="false" ht="15" hidden="false" customHeight="false" outlineLevel="0" collapsed="false"/>
    <row r="271" customFormat="false" ht="15" hidden="false" customHeight="false" outlineLevel="0" collapsed="false"/>
    <row r="272" customFormat="false" ht="15" hidden="false" customHeight="false" outlineLevel="0" collapsed="false"/>
    <row r="273" customFormat="false" ht="15" hidden="false" customHeight="false" outlineLevel="0" collapsed="false"/>
    <row r="274" customFormat="false" ht="15" hidden="false" customHeight="false" outlineLevel="0" collapsed="false"/>
    <row r="275" customFormat="false" ht="15" hidden="false" customHeight="false" outlineLevel="0" collapsed="false"/>
    <row r="276" customFormat="false" ht="15" hidden="false" customHeight="false" outlineLevel="0" collapsed="false"/>
    <row r="277" customFormat="false" ht="15" hidden="false" customHeight="false" outlineLevel="0" collapsed="false"/>
    <row r="278" customFormat="false" ht="15" hidden="false" customHeight="false" outlineLevel="0" collapsed="false"/>
    <row r="279" customFormat="false" ht="15" hidden="false" customHeight="false" outlineLevel="0" collapsed="false"/>
    <row r="280" customFormat="false" ht="15" hidden="false" customHeight="false" outlineLevel="0" collapsed="false"/>
    <row r="281" customFormat="false" ht="15" hidden="false" customHeight="false" outlineLevel="0" collapsed="false"/>
    <row r="282" customFormat="false" ht="15" hidden="false" customHeight="false" outlineLevel="0" collapsed="false"/>
    <row r="283" customFormat="false" ht="15" hidden="false" customHeight="false" outlineLevel="0" collapsed="false"/>
    <row r="284" customFormat="false" ht="15" hidden="false" customHeight="false" outlineLevel="0" collapsed="false"/>
    <row r="285" customFormat="false" ht="15" hidden="false" customHeight="false" outlineLevel="0" collapsed="false"/>
    <row r="286" customFormat="false" ht="15" hidden="false" customHeight="false" outlineLevel="0" collapsed="false"/>
    <row r="287" customFormat="false" ht="15" hidden="false" customHeight="false" outlineLevel="0" collapsed="false"/>
    <row r="288" customFormat="false" ht="15" hidden="false" customHeight="false" outlineLevel="0" collapsed="false"/>
    <row r="289" customFormat="false" ht="15" hidden="false" customHeight="false" outlineLevel="0" collapsed="false"/>
    <row r="290" customFormat="false" ht="15" hidden="false" customHeight="false" outlineLevel="0" collapsed="false"/>
    <row r="291" customFormat="false" ht="15" hidden="false" customHeight="false" outlineLevel="0" collapsed="false"/>
    <row r="292" customFormat="false" ht="15" hidden="false" customHeight="false" outlineLevel="0" collapsed="false"/>
    <row r="293" customFormat="false" ht="15" hidden="false" customHeight="false" outlineLevel="0" collapsed="false"/>
    <row r="294" customFormat="false" ht="15" hidden="false" customHeight="false" outlineLevel="0" collapsed="false"/>
    <row r="295" customFormat="false" ht="15" hidden="false" customHeight="false" outlineLevel="0" collapsed="false"/>
    <row r="296" customFormat="false" ht="15" hidden="false" customHeight="false" outlineLevel="0" collapsed="false"/>
    <row r="297" customFormat="false" ht="15" hidden="false" customHeight="false" outlineLevel="0" collapsed="false"/>
    <row r="298" customFormat="false" ht="15" hidden="false" customHeight="false" outlineLevel="0" collapsed="false"/>
    <row r="299" customFormat="false" ht="15" hidden="false" customHeight="false" outlineLevel="0" collapsed="false"/>
    <row r="300" customFormat="false" ht="15" hidden="false" customHeight="false" outlineLevel="0" collapsed="false"/>
    <row r="301" customFormat="false" ht="15" hidden="false" customHeight="false" outlineLevel="0" collapsed="false"/>
    <row r="302" customFormat="false" ht="15" hidden="false" customHeight="false" outlineLevel="0" collapsed="false"/>
    <row r="303" customFormat="false" ht="15" hidden="false" customHeight="false" outlineLevel="0" collapsed="false"/>
    <row r="304" customFormat="false" ht="15" hidden="false" customHeight="false" outlineLevel="0" collapsed="false"/>
    <row r="305" customFormat="false" ht="15" hidden="false" customHeight="false" outlineLevel="0" collapsed="false"/>
    <row r="306" customFormat="false" ht="15" hidden="false" customHeight="false" outlineLevel="0" collapsed="false"/>
    <row r="307" customFormat="false" ht="15" hidden="false" customHeight="false" outlineLevel="0" collapsed="false"/>
    <row r="308" customFormat="false" ht="15" hidden="false" customHeight="false" outlineLevel="0" collapsed="false"/>
    <row r="309" customFormat="false" ht="15" hidden="false" customHeight="false" outlineLevel="0" collapsed="false"/>
    <row r="310" customFormat="false" ht="15" hidden="false" customHeight="false" outlineLevel="0" collapsed="false"/>
    <row r="311" customFormat="false" ht="15" hidden="false" customHeight="false" outlineLevel="0" collapsed="false"/>
    <row r="312" customFormat="false" ht="15" hidden="false" customHeight="false" outlineLevel="0" collapsed="false"/>
    <row r="313" customFormat="false" ht="15" hidden="false" customHeight="false" outlineLevel="0" collapsed="false"/>
    <row r="314" customFormat="false" ht="15" hidden="false" customHeight="false" outlineLevel="0" collapsed="false"/>
    <row r="315" customFormat="false" ht="15" hidden="false" customHeight="false" outlineLevel="0" collapsed="false"/>
    <row r="316" customFormat="false" ht="15" hidden="false" customHeight="false" outlineLevel="0" collapsed="false"/>
    <row r="317" customFormat="false" ht="15" hidden="false" customHeight="false" outlineLevel="0" collapsed="false"/>
    <row r="318" customFormat="false" ht="15" hidden="false" customHeight="false" outlineLevel="0" collapsed="false"/>
    <row r="319" customFormat="false" ht="15" hidden="false" customHeight="false" outlineLevel="0" collapsed="false"/>
    <row r="320" customFormat="false" ht="15" hidden="false" customHeight="false" outlineLevel="0" collapsed="false"/>
    <row r="321" customFormat="false" ht="15" hidden="false" customHeight="false" outlineLevel="0" collapsed="false"/>
    <row r="322" customFormat="false" ht="15" hidden="false" customHeight="false" outlineLevel="0" collapsed="false"/>
    <row r="323" customFormat="false" ht="15" hidden="false" customHeight="false" outlineLevel="0" collapsed="false"/>
    <row r="324" customFormat="false" ht="15" hidden="false" customHeight="false" outlineLevel="0" collapsed="false"/>
    <row r="325" customFormat="false" ht="12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RowHeight="14.45" zeroHeight="false" outlineLevelRow="0" outlineLevelCol="0"/>
  <cols>
    <col collapsed="false" customWidth="true" hidden="false" outlineLevel="0" max="1025" min="1" style="0" width="8.53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tabColor rgb="FF002060"/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RowHeight="14.45" zeroHeight="false" outlineLevelRow="0" outlineLevelCol="0"/>
  <cols>
    <col collapsed="false" customWidth="true" hidden="false" outlineLevel="0" max="1025" min="1" style="0" width="8.53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RowHeight="14.45" zeroHeight="false" outlineLevelRow="0" outlineLevelCol="0"/>
  <cols>
    <col collapsed="false" customWidth="true" hidden="false" outlineLevel="0" max="1025" min="1" style="0" width="8.53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RowHeight="14.45" zeroHeight="false" outlineLevelRow="0" outlineLevelCol="0"/>
  <cols>
    <col collapsed="false" customWidth="true" hidden="false" outlineLevel="0" max="1025" min="1" style="0" width="8.53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RowHeight="14.45" zeroHeight="false" outlineLevelRow="0" outlineLevelCol="0"/>
  <cols>
    <col collapsed="false" customWidth="true" hidden="false" outlineLevel="0" max="1025" min="1" style="0" width="8.53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RowHeight="14.45" zeroHeight="false" outlineLevelRow="0" outlineLevelCol="0"/>
  <cols>
    <col collapsed="false" customWidth="true" hidden="false" outlineLevel="0" max="1025" min="1" style="0" width="8.53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RowHeight="14.45" zeroHeight="false" outlineLevelRow="0" outlineLevelCol="0"/>
  <cols>
    <col collapsed="false" customWidth="true" hidden="false" outlineLevel="0" max="1025" min="1" style="0" width="8.53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661</TotalTime>
  <Application>LibreOffice/6.2.8.2$Linux_X86_64 LibreOffice_project/20$Build-2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2006-09-16T00:00:00Z</dcterms:created>
  <dc:creator/>
  <dc:description/>
  <dc:language>en-US</dc:language>
  <cp:lastModifiedBy/>
  <dcterms:modified xsi:type="dcterms:W3CDTF">2020-04-03T08:35:48Z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</Properties>
</file>